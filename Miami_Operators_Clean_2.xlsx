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5"/>
    <sheet state="visible" name="Miami Operators" sheetId="2" r:id="rId6"/>
    <sheet state="visible" name="Daily Activity Log" sheetId="3" r:id="rId7"/>
    <sheet state="visible" name="Lead Source Tracker" sheetId="4" r:id="rId8"/>
    <sheet state="visible" name="Phoenix Scottsdale" sheetId="5" r:id="rId9"/>
    <sheet state="visible" name="Dallas Fort Worth" sheetId="6" r:id="rId10"/>
    <sheet state="visible" name="Atlanta" sheetId="7" r:id="rId11"/>
    <sheet state="visible" name="NYC" sheetId="8" r:id="rId12"/>
    <sheet state="visible" name="Las Vegas" sheetId="9" r:id="rId13"/>
    <sheet state="visible" name="Los Angeles" sheetId="10" r:id="rId14"/>
    <sheet state="visible" name="SF Bay Area" sheetId="11" r:id="rId15"/>
    <sheet state="visible" name="DC DMV" sheetId="12" r:id="rId16"/>
  </sheets>
  <definedNames>
    <definedName name="V1A1V1">'Miami Operators'!$A$1</definedName>
  </definedNames>
  <calcPr/>
</workbook>
</file>

<file path=xl/sharedStrings.xml><?xml version="1.0" encoding="utf-8"?>
<sst xmlns="http://schemas.openxmlformats.org/spreadsheetml/2006/main" count="1817" uniqueCount="822">
  <si>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</si>
  <si>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</si>
  <si>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</si>
  <si>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</si>
  <si>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Miami Operators</t>
  </si>
  <si>
    <t>Table 1</t>
  </si>
  <si>
    <t>Daily Activity Log</t>
  </si>
  <si>
    <t>Lead Source Tracker</t>
  </si>
  <si>
    <t>Phoenix Scottsdale</t>
  </si>
  <si>
    <t>Dallas Fort Worth</t>
  </si>
  <si>
    <t>Atlanta</t>
  </si>
  <si>
    <t>NYC</t>
  </si>
  <si>
    <t>Las Vegas</t>
  </si>
  <si>
    <t>Los Angeles</t>
  </si>
  <si>
    <t>SF Bay Area</t>
  </si>
  <si>
    <t>DC DMV</t>
  </si>
  <si>
    <t>Client Review (Y/N)</t>
  </si>
  <si>
    <t>Client Notes</t>
  </si>
  <si>
    <t>Outreach Sent</t>
  </si>
  <si>
    <t>First Name</t>
  </si>
  <si>
    <t>Last Name</t>
  </si>
  <si>
    <t>Title</t>
  </si>
  <si>
    <t>Company</t>
  </si>
  <si>
    <t>City</t>
  </si>
  <si>
    <t>State</t>
  </si>
  <si>
    <t>LinkedIn URL (personal)</t>
  </si>
  <si>
    <t>IG Handle (personal)</t>
  </si>
  <si>
    <t>IG Handle (company)</t>
  </si>
  <si>
    <t>Email</t>
  </si>
  <si>
    <t>Company Phone</t>
  </si>
  <si>
    <t>Lead Type</t>
  </si>
  <si>
    <t>Fleet Size</t>
  </si>
  <si>
    <t>Outreach Type</t>
  </si>
  <si>
    <t>Market</t>
  </si>
  <si>
    <t>Lead Score</t>
  </si>
  <si>
    <t>Enrichment Notes</t>
  </si>
  <si>
    <t>Recent Car Post</t>
  </si>
  <si>
    <t>Draft DM</t>
  </si>
  <si>
    <t>Approved/Sent DM</t>
  </si>
  <si>
    <t>DM1 Sent Date</t>
  </si>
  <si>
    <t>Recieved Reply</t>
  </si>
  <si>
    <t>DM2 Sent Date</t>
  </si>
  <si>
    <t>DM2 Copy</t>
  </si>
  <si>
    <t>DM3 Sent Date</t>
  </si>
  <si>
    <t>DM3 Copy</t>
  </si>
  <si>
    <t>Response Received</t>
  </si>
  <si>
    <t>Response Category</t>
  </si>
  <si>
    <t>Response Date</t>
  </si>
  <si>
    <t>Calendly Sent</t>
  </si>
  <si>
    <t>Demo Scheduled</t>
  </si>
  <si>
    <t>Lead Source</t>
  </si>
  <si>
    <t>Notes</t>
  </si>
  <si>
    <t>Y</t>
  </si>
  <si>
    <t>Henrique</t>
  </si>
  <si>
    <t>Gandra</t>
  </si>
  <si>
    <t>Sales Representative</t>
  </si>
  <si>
    <t>BM Club by Billionaires Miami</t>
  </si>
  <si>
    <t>Miami</t>
  </si>
  <si>
    <t>Florida</t>
  </si>
  <si>
    <t>http://www.linkedin.com/in/henrique-gandra-3bb27b337</t>
  </si>
  <si>
    <t>@billionairesmiami / @bmclubusa</t>
  </si>
  <si>
    <t>henrique@billionairesmiami.com</t>
  </si>
  <si>
    <t>+1 786-835-5111</t>
  </si>
  <si>
    <t>Operator</t>
  </si>
  <si>
    <t>Contacted</t>
  </si>
  <si>
    <t>Pre-March 2026</t>
  </si>
  <si>
    <t>Manual</t>
  </si>
  <si>
    <t xml:space="preserve"> | Gregory has referral/name drop connection. Previously DMed.</t>
  </si>
  <si>
    <t>Matthew</t>
  </si>
  <si>
    <t>Fouhy</t>
  </si>
  <si>
    <t>Senior Sales Manager</t>
  </si>
  <si>
    <t>Carefree Lifestyle</t>
  </si>
  <si>
    <t>Miami Beach</t>
  </si>
  <si>
    <t>http://www.linkedin.com/in/matthew-fouhy-8360a13b</t>
  </si>
  <si>
    <t>@mattfouhy</t>
  </si>
  <si>
    <t>@carefreelifestyle</t>
  </si>
  <si>
    <t>+1 305-538-5055</t>
  </si>
  <si>
    <t>Kaleb</t>
  </si>
  <si>
    <t>Fothergill</t>
  </si>
  <si>
    <t>Co-Founder</t>
  </si>
  <si>
    <t>DreamYachts Miami</t>
  </si>
  <si>
    <t>Fort Lauderdale</t>
  </si>
  <si>
    <t>http://www.linkedin.com/in/kaleb-fothergill-848a551b8</t>
  </si>
  <si>
    <t>@dreamyachtsmia</t>
  </si>
  <si>
    <t>+1 786-599-6242</t>
  </si>
  <si>
    <r>
      <rPr>
        <rFont val="Calibri"/>
        <color rgb="FF000000"/>
        <sz val="11.0"/>
      </rPr>
      <t>Sending to @</t>
    </r>
    <r>
      <rPr>
        <rFont val="Calibri"/>
        <color rgb="FF1155CC"/>
        <sz val="11.0"/>
        <u/>
      </rPr>
      <t>dreamcarsmia</t>
    </r>
    <r>
      <rPr>
        <rFont val="Calibri"/>
        <color rgb="FF000000"/>
        <sz val="11.0"/>
      </rPr>
      <t xml:space="preserve">  </t>
    </r>
  </si>
  <si>
    <t>New</t>
  </si>
  <si>
    <t>N</t>
  </si>
  <si>
    <t>Joseph</t>
  </si>
  <si>
    <t>Gornbein</t>
  </si>
  <si>
    <t>Company Owner</t>
  </si>
  <si>
    <t>Exotics By the Bay</t>
  </si>
  <si>
    <t>Tampa</t>
  </si>
  <si>
    <t>FL</t>
  </si>
  <si>
    <t>http://www.linkedin.com/in/joseph-gornbein-6a204224a</t>
  </si>
  <si>
    <t>@thejoeexoticc</t>
  </si>
  <si>
    <t>@exotics.by.the.bay</t>
  </si>
  <si>
    <t>+1 813-403-8213</t>
  </si>
  <si>
    <t>35+ (publicly stated "over 35 vehicles available")</t>
  </si>
  <si>
    <t>Needs IG research for recent car post</t>
  </si>
  <si>
    <t>Pending Approval</t>
  </si>
  <si>
    <t>FLAGGED: Two contacts at this company (Joseph Gornbein and Zachary Schneider). Neither marked in Client Review column. Gregory, please mark one before I send.
Draft for whichever you pick:
Hey, this is Gregory, founder of Exotiq. I've built a full suite of AI tools to help exotic rental businesses manage their fleet. Solving some of the biggest pain points. Operators are already saving 15+ hours a week.
Could I get 10 to 15 minutes to show you the platform? I'd love your take on how you manage your incredible 35+ car fleet in Tampa.</t>
  </si>
  <si>
    <t>Zachary</t>
  </si>
  <si>
    <t>Schneider</t>
  </si>
  <si>
    <t>Owner, CEO</t>
  </si>
  <si>
    <t>http://www.linkedin.com/in/zachary-schneider-1b3a7bbb</t>
  </si>
  <si>
    <t>@theexotickingpin</t>
  </si>
  <si>
    <t>Responded</t>
  </si>
  <si>
    <t>Interested - Won't Confirm Call</t>
  </si>
  <si>
    <t xml:space="preserve"> | Zachary said YES to call but won't confirm time. Gregory considering calling on IG.</t>
  </si>
  <si>
    <t>Move Lead to DC</t>
  </si>
  <si>
    <t>Steve</t>
  </si>
  <si>
    <t>D</t>
  </si>
  <si>
    <t>Rental and Transportation Consultant</t>
  </si>
  <si>
    <t>Imagine Lifestyles</t>
  </si>
  <si>
    <t>http://www.linkedin.com/in/steve-d-197a114a</t>
  </si>
  <si>
    <t>@imaginelifestyles</t>
  </si>
  <si>
    <t>steve@imaginelifestyles.com</t>
  </si>
  <si>
    <t>+1 866-436-3514</t>
  </si>
  <si>
    <t xml:space="preserve"> NYC, NJ, Philly &amp; DC</t>
  </si>
  <si>
    <t>Hey, Gregory Ringler here from Exotiq. I realized I dropped the ball on my end. You guys responded and I missed it. That's on me.
Wanted to circle back properly. We've built a command center specifically for multi-city exotic operators. AI pricing, fleet logistics and more, Operators running fleets your size are pulling 18-35% more per vehicle.
Would love to reconnect if the timing works better now.`</t>
  </si>
  <si>
    <t>Auto-reply received</t>
  </si>
  <si>
    <t xml:space="preserve"> | MISSED: Gregory got auto-reply but didn't follow up. PUT BACK ON ACTIVE LIST for re-engagement. | V2 DM: Re-engagement</t>
  </si>
  <si>
    <t>Jared</t>
  </si>
  <si>
    <t>Jukel</t>
  </si>
  <si>
    <t>Co-Owner</t>
  </si>
  <si>
    <t>https://www.linkedin.com/in/jaredjukel/</t>
  </si>
  <si>
    <t>Hold - Check Notes</t>
  </si>
  <si>
    <t>Kareem</t>
  </si>
  <si>
    <t>Trichet-Agenor</t>
  </si>
  <si>
    <t>Managing Partner</t>
  </si>
  <si>
    <t>Legaci Auto Lounge</t>
  </si>
  <si>
    <t>Boca Raton</t>
  </si>
  <si>
    <t>http://www.linkedin.com/in/kareem-trichet-agenor-542720213</t>
  </si>
  <si>
    <t>@kareemt11</t>
  </si>
  <si>
    <t>@legaciautolounge</t>
  </si>
  <si>
    <t>+1 561-573-4374</t>
  </si>
  <si>
    <t>Gianni</t>
  </si>
  <si>
    <t>Mariotti</t>
  </si>
  <si>
    <t>Chief Executive Officer</t>
  </si>
  <si>
    <t>Mariotti Exotic Car Rentals</t>
  </si>
  <si>
    <t>http://www.linkedin.com/in/gianni-mariotti-3431911a6</t>
  </si>
  <si>
    <t>@gianni_mariotti</t>
  </si>
  <si>
    <t>@mariottiexotics</t>
  </si>
  <si>
    <t>gianni@mariottiexotics.com</t>
  </si>
  <si>
    <t>Jose</t>
  </si>
  <si>
    <t>Tobon</t>
  </si>
  <si>
    <t>Prime Experiences</t>
  </si>
  <si>
    <t>http://www.linkedin.com/in/jose-david-tobon-29685876</t>
  </si>
  <si>
    <t>@jdtobonprimelux</t>
  </si>
  <si>
    <t>@primeluxuryexperiences / @primeluxrentals</t>
  </si>
  <si>
    <t>david@primeluxuryrentals.com</t>
  </si>
  <si>
    <t>+1 305-257-9326</t>
  </si>
  <si>
    <t>Robert</t>
  </si>
  <si>
    <t>Rushing</t>
  </si>
  <si>
    <t>Founder</t>
  </si>
  <si>
    <t>Rushing Rentals</t>
  </si>
  <si>
    <t>http://www.linkedin.com/in/robert-rushing-a3a738137</t>
  </si>
  <si>
    <t>@robertmrushing</t>
  </si>
  <si>
    <t>@rushingrentals</t>
  </si>
  <si>
    <t>+1 850-218-5463</t>
  </si>
  <si>
    <t>Hey Robert, Wanted to circle back properly. Would love to get on a call. Do you have time tonight or tomorrow afternoon?</t>
  </si>
  <si>
    <t>Juan</t>
  </si>
  <si>
    <t>Caballero</t>
  </si>
  <si>
    <t>Owner</t>
  </si>
  <si>
    <t>South Beach Exotic Rentals</t>
  </si>
  <si>
    <t>http://www.linkedin.com/in/southbeach-exoticrentals-b81b1a185</t>
  </si>
  <si>
    <t>@jc_sbexoticrentals</t>
  </si>
  <si>
    <t>@sbxrentals</t>
  </si>
  <si>
    <t>+1 305-890-2051</t>
  </si>
  <si>
    <t>IG: @sbxrentals, 96K followers, 2,145 posts. Owner: Juan 'JC' Caballero. Personal IG: @jc_sbexoticrentals (7,607 followers). In business since 2008, 15+ years experience. Strong social presence.</t>
  </si>
  <si>
    <t>ey, Gregory Ringler here, founder of Exotiq. I saw you have 15+ years in the exotic rental game; that kind of track record speaks for itself. Huge respect for what you have built with SBX.
We built Exotiq command center specifically for exotic rental operators. Would love to connect and learn how you are managing your fleet these days.
 No hard sales, just wanted to share what operators in Denver and Scottsdale are already using to level up.
Can we connect tonight or tomorrow afternoon?We built a command center specifically for exotic rental operators. Would love to connect and learn how you are managing your fleet these days. No hard sales, just wanted to share what operators in Denver and Scottsdale are already using to level up.</t>
  </si>
  <si>
    <t>Feb 2026</t>
  </si>
  <si>
    <t>Placeholder name removed. Owner name needs research. LinkedIn shows 'Southbeach Exoticrentals' which is a scraped business name, not a person.</t>
  </si>
  <si>
    <t>Dream Car Rentals Miami</t>
  </si>
  <si>
    <t>Hollywood</t>
  </si>
  <si>
    <t>@dreamcarsmia</t>
  </si>
  <si>
    <t>info@dreamcarsmiami.com</t>
  </si>
  <si>
    <t>(786)-599-6242</t>
  </si>
  <si>
    <t>22</t>
  </si>
  <si>
    <t xml:space="preserve">We will start with this account for outreach. </t>
  </si>
  <si>
    <t>Hey, Gregory Ringler here, founder of Exotiq. I was checking out the fleets you are building, both cars and yachts - impressive!
We built a command center specifically for exotic rental car operators. Would love to connect and learn how you are managing everything. No hard sales, just wanted to share what operators in Denver and Scottsdale are already using to level up.</t>
  </si>
  <si>
    <t>Hello! Thanks for reaching out. If you are interested in partnering or working with us. Please send us a message to (786) 599-6242 with your name and request.</t>
  </si>
  <si>
    <t>Website: https://dreamcarsmiami.com/ | Address: 2118 N Ocean Dr Hollywood FL 33019 | POTENTIAL DUPLICATE of DreamYachts Miami. Same phone number. Needs Gregory review.</t>
  </si>
  <si>
    <t>Kevin</t>
  </si>
  <si>
    <t>Uglialoro</t>
  </si>
  <si>
    <t>Co-Founder/Owner</t>
  </si>
  <si>
    <t>Velocity Exotic Car Rental</t>
  </si>
  <si>
    <t>@velocityexoticcars</t>
  </si>
  <si>
    <t>info@velocityexoticcars.com</t>
  </si>
  <si>
    <t>(813) 940-5225</t>
  </si>
  <si>
    <t>IG: @velocityexoticcars, 1,253 followers, 207 posts. Co-founders: Kevin Uglialoro and Nick. LA + Tampa. Founded early 2024. Fleet: Ferrari, Lamborghini, McLaren, Porsche, Mercedes. Huracan EVOs and 488 Spiders.</t>
  </si>
  <si>
    <t>Website: https://velocityexoticcars.com/ | Address: Tampa</t>
  </si>
  <si>
    <t>Xavier</t>
  </si>
  <si>
    <t>Guerrero</t>
  </si>
  <si>
    <t>Business Owner</t>
  </si>
  <si>
    <t>Prestige Auto Rental Miami</t>
  </si>
  <si>
    <t>@prestigeluxuryrentals</t>
  </si>
  <si>
    <t>info@prestigeluxuryrentals.com</t>
  </si>
  <si>
    <t>(305) 513-9711</t>
  </si>
  <si>
    <t>43+</t>
  </si>
  <si>
    <t>Apollo: $37.8M revenue, 13 employees, founded 2004. Two owners: Xavier (Business Owner) and Eileen (Owner). Nationwide service: Miami, Atlanta, NJ. 15+ years in business. Multiple retail locations (4). | IG: 33.8K followers, 609 posts. Verified. Posts weekly to bi-weekly. Miami + New York, serves nationwide.</t>
  </si>
  <si>
    <t>f8</t>
  </si>
  <si>
    <t>Hey, it's Gregory at Exotiq.
First off, the F8 in the fleet is perfection! I'm out here connecting with exotic car operators and helping optimize fleets with AI. With you running 43+ vehicles across multiple markets I would love your take. Could we jump on a quick 15 min call?</t>
  </si>
  <si>
    <t>Thanks, Gregory. I’ve noted your number. The best way to follow up directly is to call our Miami headquarters at +1 305-513-9711 or email info@prestigeluxuryrentals.com . A team member will reach out to you within 24 hours. Appreciate you connecting!</t>
  </si>
  <si>
    <t>Thanks for the quick reply, I’d love to connect with your team. Here’s my personal cell 970-343-9634
Is there someone on your team I can follow up with directly?</t>
  </si>
  <si>
    <t>Gregory called prestige spoke with Patrick, left a message for their operations director to give him a call. Gregory will follow with them middle of next week if we don't hear back sooner.</t>
  </si>
  <si>
    <t>Mark</t>
  </si>
  <si>
    <t>Pugachev</t>
  </si>
  <si>
    <t>Pugachev Company</t>
  </si>
  <si>
    <t>@pugachevmark</t>
  </si>
  <si>
    <t>@pugachev.miami</t>
  </si>
  <si>
    <t>rentals@pugachev.miami</t>
  </si>
  <si>
    <t>(786) 859-7876</t>
  </si>
  <si>
    <t>25+</t>
  </si>
  <si>
    <t xml:space="preserve"> | IG: 1.7M followers, 243 posts. Verified. BUT minimal recent activity (last post ~2022). Bio: 'Not brokers. We own our cars.' CEO @pugachevmark. Despite huge following, very dormant posting.</t>
  </si>
  <si>
    <t>Black Lamborghini Evo, posted Nov 1 2022 ($999/day)</t>
  </si>
  <si>
    <t>Hey, it's Gregory at Exotiq.
First off, the black Lamborghini Evo is unreal. That spec, you know exactly what the market wants.
I'm out here connecting with exotic car operators and helping optimize fleets with AI. With you running 25+ vehicles in Miami Beach I would love your take. Could we jump on a quick 15 min call?</t>
  </si>
  <si>
    <t>Website: https://pugachev.miami/ | Address: 7804 Hispanola Ave, Miami Beach, FL 33139</t>
  </si>
  <si>
    <t>Liram</t>
  </si>
  <si>
    <t>Sustiel</t>
  </si>
  <si>
    <t>CEO / Founder</t>
  </si>
  <si>
    <t>MPH Club</t>
  </si>
  <si>
    <t>@mphclub</t>
  </si>
  <si>
    <t>info@mphclub.com</t>
  </si>
  <si>
    <t>(305) 330-6322</t>
  </si>
  <si>
    <t>30+ vehicles</t>
  </si>
  <si>
    <t>Apollo: CEO/Founder. $11.3M revenue, 19 employees, founded 2010. Largest exotic car rental in US per Apollo. Uses Salesforce. Franchising nationally, Orlando location opening. | IG: 523K followers, 7,168 posts. Verified. Very active, posts daily. America's largest exotic car rental.</t>
  </si>
  <si>
    <t>Aston Martin DB12 Volante, silver/white, posted March 13 2026</t>
  </si>
  <si>
    <t>Hey, Gregory Ringler here, founder of Exotiq. What you have built with mph club since 2010 is seriously impressive. Largest exotic fleet in the country, that is no joke.
We built a command center specifically for exotic rental operators. Would love to connect and learn how you are managing 30+ vehicles at this scale. No hard sales, just wanted to share what operators in Denver and Scottsdale are already using to level up.</t>
  </si>
  <si>
    <t>Website: https://mphclub.com/ | Address: 201 S Biscayne Blvd, Miami, FL 33131 | Fixed: company name was missing, identified via email info@mphclub.com | Apollo enriched: Liram Sustiel confirmed as CEO. LinkedIn: linkedin.com/company/mph-club</t>
  </si>
  <si>
    <t>Clint</t>
  </si>
  <si>
    <t>Halim</t>
  </si>
  <si>
    <t>Luxx Miami</t>
  </si>
  <si>
    <t>@luxx.miami</t>
  </si>
  <si>
    <t>luxxmiamigroup@gmail.com</t>
  </si>
  <si>
    <t>(305) 605-5899</t>
  </si>
  <si>
    <t>50+</t>
  </si>
  <si>
    <t xml:space="preserve"> | IG: 18K followers, 550 posts. Also offers yachts, villas, private jets. Active posting.</t>
  </si>
  <si>
    <t>Lamborghini Urus (SSUV), recent post</t>
  </si>
  <si>
    <t>Hey, Gregory here. I run Exotiq. Started in the exotic rental world before building the tech.
Luxx has some serious heat in the lineup and smart positioning for the clientele you're going after. Curious how you're handling pricing, especially with the seasonal swings Miami throws at you.
Connecting with operators this month. Would love to compare notes on what's working. No agenda.</t>
  </si>
  <si>
    <t>Website: https://luxx.miami/ | Address: 1100 Brickell Bay Dr, Miami, FL 33131 | V2 DM: Template D</t>
  </si>
  <si>
    <t>Preferred Exotics</t>
  </si>
  <si>
    <t>@preferredexotics</t>
  </si>
  <si>
    <t>info@preferredexotics.com</t>
  </si>
  <si>
    <t>(305) 209-3090</t>
  </si>
  <si>
    <t>18+</t>
  </si>
  <si>
    <t>No Apollo data. Needs IG research for contact person + handle. | IG: 22K followers, 74 posts. Verified. Monthly posting. 'By Appointment Only' - selective clientele. Curated fleet: Audis, Lamborghinis, McLarens.</t>
  </si>
  <si>
    <t>Gray Audi R8, posted Jan 21 2026</t>
  </si>
  <si>
    <t>Hey, it's Gregory at Exotiq.
First off, that Audi R8 you posted is clean. We drove a supercharged R8 down to Telluride Autumn Classic last year, and it was a blast. 
I'm out here connecting with exotic car operators and helping optimize fleets with AI. With you running a curated vehicle fleet at scale, I would love your take. Could we jump on a quick 15 min call?`</t>
  </si>
  <si>
    <t>"Hey, it's Gregory at Exotiq.
First off, that Audi R8 you posted is clean. We drove a supercharged R8 down to Telluride Autumn Classic last year, and it was a blast. 
I'm out here connecting with exotic car operators and helping optimize fleets with AI. With you running a curated vehicle fleet at scale, I would love your take. Could we jump on a quick 15 min call?`"</t>
  </si>
  <si>
    <t>Website: https://preferredexotics.com/ | Address: 233 11th Street, Miami Beach, FL 33139</t>
  </si>
  <si>
    <t>Elite Club Miami</t>
  </si>
  <si>
    <t>@eliteclubmiami</t>
  </si>
  <si>
    <t>info@eliteclubmia.com</t>
  </si>
  <si>
    <t>(786) 233-0693</t>
  </si>
  <si>
    <t>15+</t>
  </si>
  <si>
    <t>No Apollo data. Needs IG research for contact person + handle. | IG: 18.1K followers, 67 posts. Verified. Monthly/bi-monthly posting. 5722 NW 27th Ave. Has BTS, FLEET, CLIENTS, SECURITY highlights.</t>
  </si>
  <si>
    <t>Gray Lamborghini Huracan Evo, posted June 23 2025</t>
  </si>
  <si>
    <t>Hey, this is Gregory, founder of Exotiq. I've built a full suite of AI tools to help exotic rental businesses manage their fleet. Solving some of the biggest pain points. Operators are already saving 15+ hours a week.
Could I get 10 to 15 minutes to show you the platform? I'd love your take on how you manage your 15+ car fleet in Miami.</t>
  </si>
  <si>
    <t>Website: https://eliteclubmia.com/ | Address: 5700 NW 27th Ave, Miami, FL 33137</t>
  </si>
  <si>
    <t>Gleb</t>
  </si>
  <si>
    <t>Tryapitsyn</t>
  </si>
  <si>
    <t>Founder/CEO</t>
  </si>
  <si>
    <t>RealCar Miami</t>
  </si>
  <si>
    <t>@real.car</t>
  </si>
  <si>
    <t>Hello@realcar.miami</t>
  </si>
  <si>
    <t>(305) 306-2353</t>
  </si>
  <si>
    <t>8+</t>
  </si>
  <si>
    <t>IG: @real.car, 7,263 followers. NYC + Miami. Co-founders: Gleb Tryapitsyn (CEO) and Dmitriy Skvortsov (CFO). Fleet: Bentley, Porsche, Rolls-Royce, Land Rover, BMW, Cadillac. Door-to-door delivery.</t>
  </si>
  <si>
    <t>Features Bentley and Rolls-Royce vehicles</t>
  </si>
  <si>
    <t>aw your Topping Rose post -- "less friction, more focus" is a vibe. That's actually the exact philosophy behind what we're building at Exotiq. Operations platform for independent exotic operators so you can spend more time on the brand side and less time juggling bookings, fleet logistics, and payment chasing. You guys are clearly dialed in on the experience. Would love to show you how the back-office can match Sthat. Worth a look?</t>
  </si>
  <si>
    <t>Website: https://realcar.miami/ | Address: 1000 5th Street, Miami Beach, FL 33139 | V2 DM: Template D</t>
  </si>
  <si>
    <t>Jayden</t>
  </si>
  <si>
    <t>Bloom</t>
  </si>
  <si>
    <t>Murci Luxury</t>
  </si>
  <si>
    <t>@murciluxuryrentals</t>
  </si>
  <si>
    <t>info@murciluxury.com</t>
  </si>
  <si>
    <t>(305) 555-MURCI</t>
  </si>
  <si>
    <t>6+</t>
  </si>
  <si>
    <t>Apollo: Founded 2022, 10 employees. Jayden Bloom confirmed. 801 S Miami Ave. Uses Squarespace. Needs IG research for handle + recent posts. | IG: @murciluxuryrentals, 20K followers, 298 posts. 'Miami #1 Exotic Car Rental.' Rentals from $800/day. Open 7 days 9am-3am. Fleet: Lambo, Ferrari, Rolls, McLaren, Merc, Maybach, BMW M, Corvette.</t>
  </si>
  <si>
    <t>Lamborghini Urus in Bianco (white), recent post</t>
  </si>
  <si>
    <t>Website: https://www.murciluxury.com/ | Address: Miami, FL | Apollo: LinkedIn linkedin.com/company/murciluxury. Phone: (786) 526-9401</t>
  </si>
  <si>
    <t>Lopez</t>
  </si>
  <si>
    <t>Miami Exotics</t>
  </si>
  <si>
    <t>@miami__exotics</t>
  </si>
  <si>
    <t>info@miamiexotics.com</t>
  </si>
  <si>
    <t>(888) 631-5311</t>
  </si>
  <si>
    <t>12+</t>
  </si>
  <si>
    <t>IG: @miami__exotics (206 followers, 146 posts). Owner: Jose Lopez (per LinkedIn). Small social presence. Also found @miamiexoticss (1,864 followers) but may be different entity. Fleet: Lamborghini, Ferrari, Rolls Royce.</t>
  </si>
  <si>
    <t>Error Flagged</t>
  </si>
  <si>
    <t>Hey Jose, Gregory here. I run Exotiq. Started in exotics before building the tech.
12+ cars, that's a solid operation. Curious how you're handling pricing during event weeks. Art Basel, boat shows, fight nights. That's where most operators leave money on the table.
Connecting with Miami operators this month. Happy to share what we're seeing from the data side. No sales pitch.</t>
  </si>
  <si>
    <t xml:space="preserve">we can't message this account </t>
  </si>
  <si>
    <t>Website: https://miami-exotics.com/ | Address: 1500 NW 36th St, Miami, FL 33142 | V2 DM: Template D</t>
  </si>
  <si>
    <t>Fredo</t>
  </si>
  <si>
    <t>D'Lima</t>
  </si>
  <si>
    <t>Saucy Rentals</t>
  </si>
  <si>
    <t>@rentalsbyfredo</t>
  </si>
  <si>
    <t>IG Research</t>
  </si>
  <si>
    <t>10+</t>
  </si>
  <si>
    <t>Call 3/17: Solo operator, all manual processes (spreadsheets, Notes app, deposits). GF/partner handles office. Needs runner for washes. Handles IG/WhatsApp leads, qualifying, insurance, BG checks, fleet mgmt, bookings, CRM. Has marketing team but Fredo does all content. Perfect Exotiq fit.</t>
  </si>
  <si>
    <t xml:space="preserve">Demo Scheduled </t>
  </si>
  <si>
    <t>Send followup DM Wed March 18th for another call and demo</t>
  </si>
  <si>
    <t>Interested - Gave Phone</t>
  </si>
  <si>
    <t>3/18/2026 3:00 PM MT</t>
  </si>
  <si>
    <t>CALL 3/17 6PM EDT: Company is "Saucy Rentals". TOOLS: Spreadsheets, deposits, Notes app. ALL MANUAL. STAFFING: Solo + GF/partner on office. Needs runner for washes. FREDO HANDLES: IG/WhatsApp leads, qualifying, insurance, BG checks, fleet mgmt, bookings, CRM. MARKETING: Has team, Fredo does content + posts, content must be approved. Call cut short (tow truck at lot). Said he'd call back. NEXT: Sent DM w/ website + phone. Follow-up call 3/18, push for demo. Phone: 786-241-6668. | 3/18: Gregory spoke with Fredo again. LIVE DEMO BOOKED 3:00 PM MT today.</t>
  </si>
  <si>
    <t>Called March 19th left VM</t>
  </si>
  <si>
    <t>Jay</t>
  </si>
  <si>
    <t>Cuza</t>
  </si>
  <si>
    <t>Exotic Miami Car Rental</t>
  </si>
  <si>
    <t>https://www.linkedin.com/in/jasoncuza/</t>
  </si>
  <si>
    <t>@jay_cuza</t>
  </si>
  <si>
    <t>@exoticmiamicarrental</t>
  </si>
  <si>
    <t>20+</t>
  </si>
  <si>
    <t>20K followers. 770 posts. 100+ 5-star Google reviews. Physical: 300 Alton Rd Suite 304 Miami Beach. Pricing: Huracan $799/day, Porsche $499/day. 24/7. WhatsApp. HOT LEAD.</t>
  </si>
  <si>
    <t>Hey, Gregory Ringler here, founder of Exotiq AI. 100+ five-star reviews, 770 posts, Huracan at $799/day. You clearly know how to price and move inventory.
Quick question though. Are you adjusting rates for events in real time? Because operators using our pricing engine are seeing 18-35% revenue bumps just by catching demand spikes from Ultra, boat shows, fight nights before they hit.
I know you already gave your number. Calling you tomorrow to walk through it. 60 seconds of your time.</t>
  </si>
  <si>
    <t>HOT LEAD. Phone: 786-202-2892. CALL TOMORROW MORNING. | V2 DM: Template B</t>
  </si>
  <si>
    <t>Miami Exotic Rental</t>
  </si>
  <si>
    <t>@miamiexoticrental_</t>
  </si>
  <si>
    <t>12.6K followers. 390 posts. Diversified: cars, yachts, jets, mansions. 24/7 delivery. Phone: (305)-939-3940. Verified.</t>
  </si>
  <si>
    <t>Last post 2020</t>
  </si>
  <si>
    <t>New lead from Gregory's IG review. Different from Miami Exotics (@miami__exotics). | V2 DM: Template D</t>
  </si>
  <si>
    <t>Rent Vice</t>
  </si>
  <si>
    <t>@rentvice</t>
  </si>
  <si>
    <t>5+</t>
  </si>
  <si>
    <t>982 followers. 43 posts. Chauffeur services. Miami/Ft Lauderdale. Entrepreneur/owner-operator.</t>
  </si>
  <si>
    <t>New lead from Gregory's IG review.</t>
  </si>
  <si>
    <t>Supreme Sport Rentals</t>
  </si>
  <si>
    <t>@supremesportrentals</t>
  </si>
  <si>
    <t>45.9K followers. 'Linked to every car in SoFlo.' Broward/Miami. Network/inventory scale operation. 2-day min, deposit req. Famous clients. Sophisticated content strategy.</t>
  </si>
  <si>
    <t>Hey, Gregory Ringler here, founder of Exotiq AI. I've been following your page. Being linked to every car in SoFlo is no joke, and the fact that you've built a brand that pulls celebrity clients says everything about your operation.
We built a command center specifically for operators running at your level. Think AI pricing that catches demand spikes before events hit, fleet logistics across multiple locations, and a voice agent that handles booking calls so your team can focus on the cars.
Operators in Denver and Scottsdale are already using it to pull 18-35% more revenue per vehicle. Would love to trade notes on what you're seeing in the Miami market. No hard sales, just connecting with the operators who are actually moving.</t>
  </si>
  <si>
    <t>New lead from Gregory's IG review. | V2 DM: Template B</t>
  </si>
  <si>
    <t>Premier Auto Miami</t>
  </si>
  <si>
    <t>@premierautomiami</t>
  </si>
  <si>
    <t>3+</t>
  </si>
  <si>
    <t>89 followers. 10 posts. Event/wedding focused. Ferrari to Rolls. Very small/new.</t>
  </si>
  <si>
    <t>Elite Exotics MIA</t>
  </si>
  <si>
    <t>@eliteexoticsmia</t>
  </si>
  <si>
    <t>137 followers. 3 posts. Brand new operation. AMG, Bentley, Lambo, Ferrari.</t>
  </si>
  <si>
    <t>New lead from Gregory's IG review. Different from Elite Club Miami.</t>
  </si>
  <si>
    <t>Jameer</t>
  </si>
  <si>
    <t>Dream Cars MIA</t>
  </si>
  <si>
    <t>@jameer.c63</t>
  </si>
  <si>
    <t>New lead from Gregory's IG review. Personal IG: @jameer.c63. Needs dedup check vs Dream Car Rentals Miami.</t>
  </si>
  <si>
    <t>Diamond Exotic Rentals</t>
  </si>
  <si>
    <t>@diamondexoticrentals</t>
  </si>
  <si>
    <t>431 followers but 6-CITY operation: Miami, Orlando, LA, NYC, Houston, Vegas. 102 posts. Cars, yachts, jets, chauffeur. Multi-market complexity.</t>
  </si>
  <si>
    <t>Hey, Gregory Ringler here, founder of Exotiq AI. Six cities. Miami, Orlando, LA, NYC, Houston, Vegas. Plus yachts and jets. That's not a rental company, that's an empire.
Real talk, managing fleet logistics and pricing across six markets has to be chaos. We built a command center that gives operators like you one dashboard for every location, AI pricing that adjusts per market, and a voice agent that handles booking calls 24/7.
Operators running 15+ vehicles are seeing 15 hours a week back in time saved. Would love to hear how you're handling the multi-city piece. Always learning from operators who've scaled past one market.</t>
  </si>
  <si>
    <t>This account can't receive your message because they don't allow new message requests from everyone.</t>
  </si>
  <si>
    <t>Black Label Rental</t>
  </si>
  <si>
    <t>@blacklabelrental</t>
  </si>
  <si>
    <t>3.6K followers. Verified. Miami/Ft Lauderdale/WPB. 24/7. TEAM ERROR - do not contact.</t>
  </si>
  <si>
    <t>TEAM ERROR: Got a copy/paste email from Gregory's team without reading DM history. Need to clean up relationship. Do NOT re-contact until Gregory reviews.</t>
  </si>
  <si>
    <t>Dade County Exotics</t>
  </si>
  <si>
    <t>@dadecountyexotics_</t>
  </si>
  <si>
    <t>2K followers. 41 posts. Cars, yachts, chauffeur. Miami/Ft Lauderdale/WPB. 24/7. Phone: (305)-484-9130.</t>
  </si>
  <si>
    <t>Hey, Gregory here. I run Exotiq. Started in exotics before building the tech.
Three locations across Dade, Broward, and Palm Beach plus yachts and chauffeur. That's a lot of moving parts. Curious how you're managing fleet distribution and pricing across those markets.
Connecting with operators running multi-location setups this month. We've been building tools around exactly this problem. Would love to trade notes if you're open to it.</t>
  </si>
  <si>
    <t>"Hey, Gregory here. I run Exotiq. Started in exotics before building the tech.
Three locations across Dade, Broward, and Palm Beach plus yachts and chauffeur. That's a lot of moving parts. Curious how you're managing fleet distribution and pricing across those markets.
Connecting with operators running multi-location setups this month. We've been building tools around exactly this problem. Would love to trade notes if you're open to it."</t>
  </si>
  <si>
    <t>New lead from Gregory's IG review. | V2 DM: Template D</t>
  </si>
  <si>
    <t>Zalo Rentals</t>
  </si>
  <si>
    <t>@zalorentals</t>
  </si>
  <si>
    <t>1.6K followers. 46 posts. Cars and yachts. Website: zalorentals.com.</t>
  </si>
  <si>
    <t>Not a rental fleet - Dealership</t>
  </si>
  <si>
    <t>Miami Luxury Cars</t>
  </si>
  <si>
    <t>@miamiluxurycars</t>
  </si>
  <si>
    <t>46.3K followers. 1,222 posts. Major dealer/fleet. Worldwide export. Physical showroom at 8452 NW 6th CT Miami. Exclusive inventory model.</t>
  </si>
  <si>
    <t>Hey, Gregory here from Exotiq. You're running one of the biggest exotic operations in Miami. [One specific detail -- fleet size, a car they posted, something real.]
We built an AI pricing engine that adjusts for events, seasons, and real-time demand. Jay at Denver Exotic Rental Cars pulled in an extra $[X]K last quarter running it. He's just getting started.
Worth a look? Can send over a quick demo of what it'd look like for your fleet.</t>
  </si>
  <si>
    <t>New lead from Gregory's IG review. | V2 DM: Template E</t>
  </si>
  <si>
    <t>Golden Exotic Rentals</t>
  </si>
  <si>
    <t>@goldenexoticrentals</t>
  </si>
  <si>
    <t>14+</t>
  </si>
  <si>
    <t>11.8K followers. 141 posts. Cars, yachts, villas, wraps/PPF/ceramic. Full concierge play. 14+ vehicle categories incl Urus, McLaren, Rolls, Maybach.</t>
  </si>
  <si>
    <t>Hey, Gregory here. I run Exotiq. We started as an exotic rental operation before building the tech.
The full concierge play you've got, cars, yachts, villas, wraps, it's smart. That's exactly the kind of diversified model where pricing optimization gets complicated fast.
I'm connecting with operators in Miami this month. Curious how you're handling demand-based pricing across that many service lines. We've been building some tools around exactly that problem. No sales pitch, just trading notes with operators who get it.</t>
  </si>
  <si>
    <t>"Hey, Gregory here. I run Exotiq. We started as an exotic rental operation before building the tech.
The full concierge play you've got, cars, yachts, villas, wraps, it's smart. That's exactly the kind of diversified model where pricing optimization gets complicated fast.
I'm connecting with operators in Miami this month. Curious how you're handling demand-based pricing across that many service lines. We've been building some tools around exactly that problem. No sales pitch, just trading notes with operators who get it."</t>
  </si>
  <si>
    <t>VIP Miami Auto</t>
  </si>
  <si>
    <t>@vipmiamiauto</t>
  </si>
  <si>
    <t>27.2K followers. 283 posts. Cars, yachts, mansions. Celebrity partnerships (MMA fighter Michael Chandler). Instant booking. Phone: 754-715-4752.</t>
  </si>
  <si>
    <t>Hey, Gregory here. I run Exotiq. We actually started in the exotic rental world ourselves before building the tech side.
Saw the Chandler collab. The fact that you're running cars, yachts, AND mansions tells me you're dealing with the kind of multi-asset logistics nightmare that most people don't understand.
I'm connecting with the top operators in Miami this month. Genuinely curious how you're managing pricing across that many asset types. We've been working on some things that might be interesting to you. No pitch, just comparing notes.</t>
  </si>
  <si>
    <t>Date</t>
  </si>
  <si>
    <t>Total DMs Sent</t>
  </si>
  <si>
    <t>Total Follow-Ups Sent</t>
  </si>
  <si>
    <t>Responses Received</t>
  </si>
  <si>
    <t>Demos Booked</t>
  </si>
  <si>
    <t>IG Restrictions Encountered</t>
  </si>
  <si>
    <t>Lead Source Type</t>
  </si>
  <si>
    <t>Total Leads Found</t>
  </si>
  <si>
    <t>Leads Contacted</t>
  </si>
  <si>
    <t>Hashtag Search</t>
  </si>
  <si>
    <t>Similar Account</t>
  </si>
  <si>
    <t>Location Tag</t>
  </si>
  <si>
    <t>TOTAL</t>
  </si>
  <si>
    <t>Company Email</t>
  </si>
  <si>
    <t>Status</t>
  </si>
  <si>
    <t>Approved DM</t>
  </si>
  <si>
    <t>Desert Luxe Exotics</t>
  </si>
  <si>
    <t>Scottsdale</t>
  </si>
  <si>
    <t>AZ</t>
  </si>
  <si>
    <t>@desertluxeexotics</t>
  </si>
  <si>
    <t>Phoenix/Scottsdale</t>
  </si>
  <si>
    <t>Fleet incl McLaren 600LT/650S/MP4-12C, Aston Martin Vantage, Rolls Ghost, Lambo Urus/Huracan, Mercedes G63/S580/S63/C63s, Audi R8 Spider, Corvette C8, BMW M4/i8. Address: 4848 N Goldwater Blvd, Scottsdale 85251. Phone: (480) 934-0680.</t>
  </si>
  <si>
    <t>Hey, Gregory here. I run Exotiq. Started in exotics before building the tech.
15+ cars including three different McLarens, that's a serious fleet for Scottsdale. The Goldwater Blvd location puts you right in the action for the snowbird crowd.
Connecting with Scottsdale operators this month. Curious how you're handling pricing across that many vehicle classes, especially during Barrett-Jackson and spring training when demand spikes. We've been building tools around exactly that. No pitch, just comparing notes.</t>
  </si>
  <si>
    <t>New lead from Gregory's IG review. First Phoenix/Scottsdale lead. Gregory has more leads to share for this market. | V2 DM: Template D</t>
  </si>
  <si>
    <t>Vivid Luxury Cars</t>
  </si>
  <si>
    <t>Phoenix</t>
  </si>
  <si>
    <t>@vivid_luxury_cars</t>
  </si>
  <si>
    <t>308 followers. 27 posts. Phoenix Metro. Boutique 'Turn Heads Every Mile' positioning.</t>
  </si>
  <si>
    <t>Moved from Miami tab. Phoenix Metro Area per IG bio.</t>
  </si>
  <si>
    <t>Apex Exotic Rentals</t>
  </si>
  <si>
    <t>@apexexoticrental</t>
  </si>
  <si>
    <t>594 followers. 69 posts. On-demand model. Concierge delivery to PHX/SDL airports. Lambo/Ferrari/McLaren/Rolls/Mercedes AMG. Multi-city AZ coverage.</t>
  </si>
  <si>
    <t>Moved from Miami tab. Arizona per IG bio.</t>
  </si>
  <si>
    <t>Fantasy Exotic Rentals</t>
  </si>
  <si>
    <t>@fantasyexoticrentals</t>
  </si>
  <si>
    <t>fantasyexoticrentals.com</t>
  </si>
  <si>
    <t>Web + IG Research</t>
  </si>
  <si>
    <t>42.4K followers. 101 posts. MULTI-MARKET: Scottsdale, Miami, Hawaii. 'Fantasy Lifestyle' brand positioning. Major operator with cross-market presence. Website: fantasyexoticrentals.com.</t>
  </si>
  <si>
    <t>Hey, Gregory Ringler here, founder of Exotiq AI. Scottsdale, Miami, AND Hawaii. That's not a rental company, that's a lifestyle brand with serious logistics behind it.
We built a command center specifically for operators running across multiple markets. AI pricing that adjusts per city, one dashboard for every location, and a voice agent that handles booking calls 24/7 so your team isn't juggling three time zones.
Operators running multi-market fleets are seeing 18-35% revenue improvement just from the pricing engine. Would love to hear how you're managing inventory across three markets. No hard sales, just connecting with operators who've scaled past one city.</t>
  </si>
  <si>
    <t>Web Search + IG</t>
  </si>
  <si>
    <t>TOP TARGET. Multi-location operator across Scottsdale, Miami, Hawaii. Large IG following. Cross-market complexity = perfect Exotiq use case. Could also be approached from Miami angle. | V2 DM: Template B</t>
  </si>
  <si>
    <t>Royal Rentals</t>
  </si>
  <si>
    <t>@royalrentals.io</t>
  </si>
  <si>
    <t>royalrentals.io</t>
  </si>
  <si>
    <t>25.3K followers. 135 posts. Self-described '#1 Luxury Management Company.' Fleet: Tesla X, Jaguar, Corvette, Escalade, Bentley. Multi-brand diverse lineup. Website: royalrentals.io.</t>
  </si>
  <si>
    <t>Hey, Gregory here. I run Exotiq. We came up in the exotic rental world before building the tech side.
The 'luxury management company' angle is smart. Most operators just rent cars. You're positioning as the platform. That's a different game with different backend needs.
Connecting with operators in the Scottsdale market this month. Curious how you're handling fleet management and pricing across your portfolio. We've been building tools around exactly that problem. No agenda, just comparing notes.</t>
  </si>
  <si>
    <t>High-value target. Large following, 'management company' positioning suggests fleet management for multiple owners. Enterprise solution angle. | V2 DM: Template D</t>
  </si>
  <si>
    <t>Premier Luxury Club</t>
  </si>
  <si>
    <t>@premierluxuryclub</t>
  </si>
  <si>
    <t>info@premierluxuryclub.com</t>
  </si>
  <si>
    <t>3.5K followers. 83 posts. VERIFIED. 'Scottsdale's #1 Exotic &amp; Luxury Rentals.' Fleet: Lambo Urus/Huracan, Ferrari 488, McLaren 720S/570S, Rolls Wraith, Porsche GT3, Mercedes G63, Audi R8, Corvette Z06. Address: 14982 N 83rd Pl Ste 103, Scottsdale 85250. Phone: 480-256-8840. Same-day booking, 24/7 support, doorstep delivery, full coverage insurance.</t>
  </si>
  <si>
    <t>Hey, Gregory here. I run Exotiq. Started in exotics before building the tech.
Premier's fleet is stacked. Huracan, 488, 720S, Wraith, GT3, all under one roof in Scottsdale. That's a lot of pricing variables, especially during Barrett-Jackson week and spring training season.
Connecting with Scottsdale operators this month. Would love to compare notes on how you're handling demand-based pricing. We've been working on some tools that operators your size are finding useful. No pitch, just trading notes.</t>
  </si>
  <si>
    <t>Strong target. Verified account, professional operation, wide fleet, established in Scottsdale. Good response candidate for peer-to-peer outreach. | V2 DM: Template D</t>
  </si>
  <si>
    <t>Jason</t>
  </si>
  <si>
    <t>Supercar Experience</t>
  </si>
  <si>
    <t>@supercarexp</t>
  </si>
  <si>
    <t>Web Research</t>
  </si>
  <si>
    <t>Owner: Jason. Multi-city: Vegas, LA, Boise, Scottsdale (Miami + SLC coming soon). 100+ VIP experiences, 10+ luxury brands. Fleet: Ferrari SF90/F8/812/296/488, Lambo Huracan STO/Aventador S/Urus, Porsche GT3RS, McLaren 600LT, Rolls Cullinan, Mercedes Maybach/G-Wagon. Custom '1 of 1' builds. Phone: Scottsdale (888) 678-6079.</t>
  </si>
  <si>
    <t>Hey Jason, Gregory Ringler here, founder of Exotiq AI. Vegas, LA, Boise, Scottsdale, and Miami coming soon. That's five markets with custom 1-of-1 builds. The pricing and logistics on that has to be intense.
We built a command center for exactly this. AI pricing that adjusts per market and per event, one dashboard for your entire fleet across every city, and demand forecasting that catches spikes from fight nights, CES, and Coachella before they hit.
Operators running 25+ vehicles across multiple markets are seeing 18-35% revenue bumps from the pricing engine alone. Would love to connect and hear how you're managing the multi-city piece.</t>
  </si>
  <si>
    <t>HIGH VALUE. Multi-city operator expanding to Miami + SLC. Owner Jason. 25+ vehicle fleet with custom builds. Multi-location fleet management is the exact Exotiq pitch. | V2 DM: Template B</t>
  </si>
  <si>
    <t>Bryce</t>
  </si>
  <si>
    <t>Fisher</t>
  </si>
  <si>
    <t>CEO &amp; Owner</t>
  </si>
  <si>
    <t>Fisher Luxury Rental</t>
  </si>
  <si>
    <t>@fisherluxuryrental</t>
  </si>
  <si>
    <t>rental@fisherluxuryrental.com</t>
  </si>
  <si>
    <t>Web + Apollo</t>
  </si>
  <si>
    <t>16</t>
  </si>
  <si>
    <t>Apollo confirmed: Bryce Fisher, CEO &amp; Owner. 250 followers, 99 posts. Multi-state: AZ + OR/WA. 16 vehicles listed. Fleet: Lambo Huracan Spyder, Audi R8, Porsche 911, Ferrari Cali T/488, McLaren 720S, Mercedes G-Wagon/S580, Range Rover, Corvette C8/Z06, Escalade. AZ: 3050 S 44th St Suite 130, Phoenix 85040. Phone: 602-661-3970. LinkedIn: linkedin.com/company/fisher-luxury-rental.</t>
  </si>
  <si>
    <t>Hey Bryce, Gregory here. I run Exotiq. We came from the exotic rental world before building the tech side.
Running 16 cars across Arizona AND Oregon/Washington is no small thing. Most operators can barely manage one location, you're doing three states. That's the kind of multi-market complexity where pricing optimization and fleet logistics get real.
Connecting with operators running cross-state fleets this month. Curious how you're handling demand differences between Phoenix and Portland. We've been building some tools around exactly that problem. No pitch, just trading notes.</t>
  </si>
  <si>
    <t>Web + Apollo Enrichment</t>
  </si>
  <si>
    <t>Owner confirmed via Apollo. Multi-state operator (AZ/OR/WA). 16 vehicles, clear fleet. Good mid-market target. Pricing $199-$1,499/day. | V2 DM: Template D</t>
  </si>
  <si>
    <t>Grant Motor Group</t>
  </si>
  <si>
    <t>@grantmotorgroup</t>
  </si>
  <si>
    <t>1.3K followers. 78 posts. 'Scottsdale's exclusive exotic fleet. Drive what they can't.' Fleet: Ferrari, Corvette, BMW, Porsche, McLaren. White Glove Service. Hourly/daily/weekly rentals. Apollo: Address: 7735 E Evans Rd Suite 201, Scottsdale 85260. LinkedIn: linkedin.com/company/grant-motor-group.</t>
  </si>
  <si>
    <t>Hey, Gregory here. I run Exotiq. Started in exotics before building the tech.
GMG's positioning is clean. 'Drive what they can't' with the White Glove Service. That premium model only works if the backend matches the frontend experience.
Connecting with Scottsdale operators this month. Curious how you're managing pricing during peak season, Barrett-Jackson, golf tournaments, spring training. That's where most operators either win big or leave money on the table. Happy to share what we're seeing.</t>
  </si>
  <si>
    <t>Premium positioning. White Glove Service model. Scottsdale exclusive. Professional operation with good IG engagement. | V2 DM: Template D</t>
  </si>
  <si>
    <t>Legendary Exotic Rentals</t>
  </si>
  <si>
    <t>@legendaryexoticrentals</t>
  </si>
  <si>
    <t>521 followers. 54 posts. Scottsdale local. Consistent posting cadence. Phone: 480-329-2931. Website: legendaryexoticrentals.com.</t>
  </si>
  <si>
    <t>Hey, Gregory here. I run Exotiq. We came up in the exotic rental world before building the tech side.
Solid operation you've got in Scottsdale. Consistent fleet, consistent posting. Curious how you're handling pricing during the seasonal swings AZ throws at you. Snowbird season vs. summer slowdown is a different game than most markets.
Connecting with a few Scottsdale operators this month. Would love to compare notes. No agenda.</t>
  </si>
  <si>
    <t>Solid local operator with consistent content. Phone available for direct outreach. | V2 DM: Template D</t>
  </si>
  <si>
    <t>Elite Exotic Luxury Rentals</t>
  </si>
  <si>
    <t>@eliteexoticrentalsaz</t>
  </si>
  <si>
    <t>eliteexoticluxuryrentals.com</t>
  </si>
  <si>
    <t>564 followers. 23 posts. Exotic cars + party buses. Scottsdale/Phoenix. NOTE: Bio says 'We do not check direct messages in instagram!!! visit our website to book.' Website outreach may be better channel.</t>
  </si>
  <si>
    <t>Multi-service (cars + party buses). Explicitly says NO IG DMs. Use website or phone for outreach.</t>
  </si>
  <si>
    <t>XOTX Exotic Rentals</t>
  </si>
  <si>
    <t>@rentxotx</t>
  </si>
  <si>
    <t>rentxotx.com</t>
  </si>
  <si>
    <t>196 followers. 25 posts. 'Easiest/Quickest Rental Process. Best Rates. Delivers Anywhere. 24/7 Concierge Services.' Service-differentiated positioning.</t>
  </si>
  <si>
    <t>Small operator focused on service quality and convenience. Growing.</t>
  </si>
  <si>
    <t>Exotic AZ Rental</t>
  </si>
  <si>
    <t>@exoticazrental</t>
  </si>
  <si>
    <t>exoticazrental.com</t>
  </si>
  <si>
    <t>238 followers. 15 posts. Phoenix, Mesa &amp; Beyond. Online booking. Phone: (602) 775-0609.</t>
  </si>
  <si>
    <t>Regional operator covering Phoenix/Mesa. Small but has online booking infrastructure.</t>
  </si>
  <si>
    <t>Circe Exotics</t>
  </si>
  <si>
    <t>@circeexotics</t>
  </si>
  <si>
    <t>circeexotics.com</t>
  </si>
  <si>
    <t>195 followers. 8 posts. 'Arizona's Premier Exotic Car Rental.' Tagline: 'Transcend Yourself.' Very new/early stage.</t>
  </si>
  <si>
    <t>Brand new operator. Too early for outreach but worth monitoring.</t>
  </si>
  <si>
    <t>Veluxity (Marketplace)</t>
  </si>
  <si>
    <t>National</t>
  </si>
  <si>
    <t>AZ/NY</t>
  </si>
  <si>
    <t>@veluxity</t>
  </si>
  <si>
    <t>veluxityexoticcarrental.com</t>
  </si>
  <si>
    <t>125+ (network)</t>
  </si>
  <si>
    <t>14.6K followers. 919 posts. MARKETPLACE MODEL: 'America's Luxury and Exotic Car Rental Marketplace. Home to 125+ Luxury &amp; Exotic Cars.' HQ: 2 Park Ave 20th Floor, NYC 10016. Aggregates multiple operators. NOT a single rental company.</t>
  </si>
  <si>
    <t>Hey, Gregory here from Exotiq. Your marketplace model is interesting. 125+ cars across a network of operators. That means you're dealing with the hardest problem in this space: coordinating pricing, availability, and quality across dozens of independent operators.
We built a command center that solves exactly that on the operator side. AI pricing, fleet logistics, booking management. Could be worth exploring how Exotiq integrates with your marketplace to give your operators better tools.
Different conversation than the usual pitch. Happy to walk through it whenever.</t>
  </si>
  <si>
    <t>DIFFERENT PLAY: This is a marketplace/aggregator, not a single operator. 125+ cars across their network. Could be a partnership angle rather than standard operator pitch. B2B platform integration opportunity. | V2 DM: Template E</t>
  </si>
  <si>
    <t>Instant Luxury Rentals</t>
  </si>
  <si>
    <t>@instantluxuryrentals</t>
  </si>
  <si>
    <t>instantluxuryrentals.com</t>
  </si>
  <si>
    <t>HQ: Fort Lauderdale FL. Serves Phoenix, Scottsdale, Tucson, Mesa, Chandler, Glendale, Tempe. Claims 'largest selection.' Lambo, Bugatti, Aston Martin, Ferrari, Porsche, Bentley, Rolls, McLaren, Tesla, 20+ brands. Phone: 1-877-736-8553.</t>
  </si>
  <si>
    <t>Florida-based operation serving AZ market remotely. Multi-state logistics complexity. Could approach from either Miami or Phoenix angle.</t>
  </si>
  <si>
    <t>Black Label Exotics</t>
  </si>
  <si>
    <t>Dallas</t>
  </si>
  <si>
    <t>TX</t>
  </si>
  <si>
    <t>@blacklabel_uptown</t>
  </si>
  <si>
    <t>blacklabelexotics.com</t>
  </si>
  <si>
    <t>Web + IG</t>
  </si>
  <si>
    <t>20-30+</t>
  </si>
  <si>
    <t>Dallas/Fort Worth</t>
  </si>
  <si>
    <t>33.3K followers. 1,721 posts. VERIFIED. 310+ 5-star Google reviews. Uptown Dallas. Phone: (469) 200-0286.</t>
  </si>
  <si>
    <t>TOP TARGET. Market leader in Dallas. Massive IG presence, verified, highest Google reviews. Note: different from @blacklabelrental in Miami.</t>
  </si>
  <si>
    <t>Picton Luxury Rentals</t>
  </si>
  <si>
    <t>@pictonluxuryrentals</t>
  </si>
  <si>
    <t>pictonautogroup.com</t>
  </si>
  <si>
    <t>15-20</t>
  </si>
  <si>
    <t>15.8K followers. VERIFIED. Fleet: Brabus G Wagon, Lambo Urus, Ferrari F8, Rolls Cullinan, Escalade ESV. Phone: (855)-935-9975.</t>
  </si>
  <si>
    <t>Strong target. Verified, premium positioning.</t>
  </si>
  <si>
    <t>The Classic TX</t>
  </si>
  <si>
    <t>@theclassictx</t>
  </si>
  <si>
    <t>theclassictx.com</t>
  </si>
  <si>
    <t>15-25</t>
  </si>
  <si>
    <t>13.6K followers. 725 posts. Luxury rentals + professional chauffeur + aftermarket customization (@wrapclassic). Phone: 469-677-8002.</t>
  </si>
  <si>
    <t>Diversified: rentals + chauffeur + customization shop. Multi-service operation.</t>
  </si>
  <si>
    <t>Roma Exotics</t>
  </si>
  <si>
    <t>@romaexotics</t>
  </si>
  <si>
    <t>romaexoticrentals.com</t>
  </si>
  <si>
    <t>12-18</t>
  </si>
  <si>
    <t>13.3K followers. 99 posts. 24+ YEARS in business. Ferrari, Bugatti, Lambo, Porsche, Bentley, Audi, BMW, Corvette, G-Wagon.</t>
  </si>
  <si>
    <t>24 years in business. Longest-operating exotic rental in Dallas. Institutional knowledge.</t>
  </si>
  <si>
    <t>Dallas Dream Rides</t>
  </si>
  <si>
    <t>@dallasdreamrides</t>
  </si>
  <si>
    <t>dallasdreamrides.com</t>
  </si>
  <si>
    <t>15-20+</t>
  </si>
  <si>
    <t>10.7K followers. Fleet: BMW M4, Bentley Continental, Lambo Huracan 580, Mercedes G63, Maybach, Urus, Audi R8, Porsche GT3, Ferrari 488. Phone: 833-777-4733.</t>
  </si>
  <si>
    <t>Strong fleet variety. Active phone line.</t>
  </si>
  <si>
    <t>MTB Exotics</t>
  </si>
  <si>
    <t>@mtbexotics</t>
  </si>
  <si>
    <t>mtbexotics.com</t>
  </si>
  <si>
    <t>9.3K followers. 472 posts. DFW Exotic Car Rental. Daily/weekly/monthly. Phone: 469-815-7013. Fleet: Lambo, Corvette, McLaren, BMW i8, Bentley, Mercedes, Tesla Cybertruck, Maserati, Rolls Ghost.</t>
  </si>
  <si>
    <t>High post count, active. Tesla Cybertruck differentiator.</t>
  </si>
  <si>
    <t>Maverick Exotic Rentals</t>
  </si>
  <si>
    <t>@maverickexoticrentals</t>
  </si>
  <si>
    <t>linktr.ee/Maverickexoticrentals</t>
  </si>
  <si>
    <t>10-15</t>
  </si>
  <si>
    <t>5.2K followers. 176 posts. 'Dallas's top rated.' Chauffeur + pick up/drop off. Phone: 682-777-0444.</t>
  </si>
  <si>
    <t>Growth-oriented operator. Competitive positioning.</t>
  </si>
  <si>
    <t>Andrew</t>
  </si>
  <si>
    <t>Johnsen</t>
  </si>
  <si>
    <t>Oro Reserve</t>
  </si>
  <si>
    <t>@ororeserve</t>
  </si>
  <si>
    <t>ororeserve.com</t>
  </si>
  <si>
    <t>8-12</t>
  </si>
  <si>
    <t>511 followers. 70 posts. 'Most exclusive exotic and luxury car rentals in Dallas.' White-glove. Highland Park area. Owners: Andrew Johnsen &amp; Nick Valenta. Fleet: Porsche Targa GTS, Ferrari Roma, Lambo Huracan Evo, Urus, Porsche Taycan Turbo.</t>
  </si>
  <si>
    <t>Owners identified: Andrew Johnsen &amp; Nick Valenta. Ultra-premium positioning.</t>
  </si>
  <si>
    <t>Foreign Oxygen</t>
  </si>
  <si>
    <t>@foreignoxygen</t>
  </si>
  <si>
    <t>Admin@foreignoxygenluxuryrentals.com</t>
  </si>
  <si>
    <t>foreignoxygen.com</t>
  </si>
  <si>
    <t>1.1K followers. Since 2018. Dallas/Frisco/Plano/Highland Park. Fleet: Escalade, Corvette, G63, Bentley GTC S, 911, Urus, Maybach, Rolls Ghost, Aston Martin, Huracan Evo. Phone: (469) 648-8941.</t>
  </si>
  <si>
    <t>Email available. DFW suburb coverage.</t>
  </si>
  <si>
    <t>Legacy Rides</t>
  </si>
  <si>
    <t>@legacyrides_</t>
  </si>
  <si>
    <t>mylegacyrides.com</t>
  </si>
  <si>
    <t>8-15</t>
  </si>
  <si>
    <t>1K followers. Luxury/Economy/Chauffeur. All-inclusive rentals. Dallas/Frisco.</t>
  </si>
  <si>
    <t>All-inclusive model. Growing.</t>
  </si>
  <si>
    <t>ATL Exotic &amp; Luxury Cars</t>
  </si>
  <si>
    <t>Kennesaw</t>
  </si>
  <si>
    <t>GA</t>
  </si>
  <si>
    <t>@atlexoticandluxurycars</t>
  </si>
  <si>
    <t>atlexoticrentals.com</t>
  </si>
  <si>
    <t>21.5K followers. 321 posts. Address: 1723 McCollum Pkwy NW, Kennesaw 30144. Phone: (770) 899-0763. 24/7 rentals, wedding, chauffeur, prom, free delivery. Fleet: Lambo, Rolls, Aston Martin, Bentley, Mercedes, Ferrari, Maserati, Range Rover, BMW, Porsche + vintage 1928 Ford Model A.</t>
  </si>
  <si>
    <t>TOP TARGET. Market leader in Atlanta. 24/7 operations, diverse fleet incl vintage. Black-owned business.</t>
  </si>
  <si>
    <t>Milani Exotic Rentals</t>
  </si>
  <si>
    <t>@milaniexoticrentals</t>
  </si>
  <si>
    <t>milanirentals.com</t>
  </si>
  <si>
    <t>8.5K followers. 21 posts. Address: 1954 Airport Rd #221, Atlanta 30341. Multi-state delivery: GA, NC, SC, AL, TN. PDK + ATL airport. Fleet: Ferrari, Lambo, Rolls, Bentley, Mercedes, Aston Martin, Porsche, Maserati. Also video production support.</t>
  </si>
  <si>
    <t>Multi-state delivery reach (5 states). Video production angle. Two airport locations.</t>
  </si>
  <si>
    <t>JNJ Exotics</t>
  </si>
  <si>
    <t>@jnj.exotics</t>
  </si>
  <si>
    <t>jnjexoticrentals.com</t>
  </si>
  <si>
    <t>6.2K followers. 70 posts. 'Atlanta's Premier Exotic Car Rental Service.' 30305 zip (Buckhead). Fleet: Lambo, Rolls, McLaren, Ferrari.</t>
  </si>
  <si>
    <t>Buckhead location. Premium positioning. Good growth trajectory.</t>
  </si>
  <si>
    <t>MVP Atlanta</t>
  </si>
  <si>
    <t>@mvpatl</t>
  </si>
  <si>
    <t>mvpatl.com</t>
  </si>
  <si>
    <t>1.2K followers. 60 posts. MULTI-CITY: Atlanta, Miami, LA, Paris. Cars, mansions, yachts. Fleet: Urus, Ferrari, Corvette C8, Rolls, Bentley, Mercedes, Huracan Evo. Also @mvpclt (Charlotte).</t>
  </si>
  <si>
    <t>Multi-city operator (ATL/Miami/LA/Paris). Lifestyle brand. Cross-market complexity = Exotiq pitch.</t>
  </si>
  <si>
    <t>Elite ATL Exotics</t>
  </si>
  <si>
    <t>@eliteatlexotics</t>
  </si>
  <si>
    <t>eliteatlexotics.com</t>
  </si>
  <si>
    <t>843 followers. 20 posts. Address: 6595 Roswell Rd Ste G PMB 3025, Atlanta 30328. SMS booking ('TEXT TO BOOK'). 'Atlanta's #1 Exotic Car Rental Service.'</t>
  </si>
  <si>
    <t>SMS booking model. Growing.</t>
  </si>
  <si>
    <t>Dream Exotics Atlanta</t>
  </si>
  <si>
    <t>@dreamexoticsatlanta</t>
  </si>
  <si>
    <t>dreamexoticsatl.com</t>
  </si>
  <si>
    <t>579 followers. 31 posts. Address: 500 Bishop St NW Unit F-4, Atlanta 30318. Near Atlantic Station.</t>
  </si>
  <si>
    <t>Midtown location near Atlantic Station.</t>
  </si>
  <si>
    <t>Xoticc Rentals</t>
  </si>
  <si>
    <t>@xoticcrentals</t>
  </si>
  <si>
    <t>xoticcrentalsagency.com</t>
  </si>
  <si>
    <t>299 followers. 23 posts. Address: 3355 Lenox Rd NE, Atlanta 30326 (Buckhead). Delivery/pick-up + chauffeur.</t>
  </si>
  <si>
    <t>Lenox Rd Buckhead address. Lifestyle brand positioning.</t>
  </si>
  <si>
    <t>Rayne Exotic Motors</t>
  </si>
  <si>
    <t>raynexoticmotors.com</t>
  </si>
  <si>
    <t>No IG found. Web only. Buckhead base near Nobu/Phipps Plaza. 24/7 concierge, 40-mile delivery radius. Rolls Royce, high-end exotics.</t>
  </si>
  <si>
    <t>No Instagram. Web/phone outreach only. Buckhead luxury positioning.</t>
  </si>
  <si>
    <t>Royalty Rentals NY</t>
  </si>
  <si>
    <t>New York City</t>
  </si>
  <si>
    <t>NY</t>
  </si>
  <si>
    <t>@royalty_rentals_ny</t>
  </si>
  <si>
    <t>royaltyrentals.info</t>
  </si>
  <si>
    <t>120K followers. 1,077 posts. Sprinters, exotic cars, planes, helicopters. Events: weddings, prom, shoots. Massive diversified operation.</t>
  </si>
  <si>
    <t>TOP TARGET. 120K followers. Massively diversified (cars, sprinters, planes, helicopters). Event specialist.</t>
  </si>
  <si>
    <t>Monarq Motors</t>
  </si>
  <si>
    <t>@monarqmotors</t>
  </si>
  <si>
    <t>monarqmotors.com</t>
  </si>
  <si>
    <t>10.2K followers. 288 posts. 'Rare Cars. Real Access.' Rentals, memberships, sales. NYC + Florida dual market. McLaren, Lambo, Ferrari, Porsche.</t>
  </si>
  <si>
    <t>DUAL MARKET: NYC + Florida. Membership model = recurring revenue. Premium 'rare cars' positioning.</t>
  </si>
  <si>
    <t>Gotham Dream Cars</t>
  </si>
  <si>
    <t>@gothamdreamcars</t>
  </si>
  <si>
    <t>gothamdreamcars.com</t>
  </si>
  <si>
    <t>7.6K followers. 406 posts. 'The #1 Exotic Car Rental Experience.' NYC-NJ. Phone: (212) 957-4400. Delivery available.</t>
  </si>
  <si>
    <t>Self-proclaimed #1. Strong brand. Phone available. NYC+NJ coverage.</t>
  </si>
  <si>
    <t>CarLinC Exotic Rental</t>
  </si>
  <si>
    <t>@carlincexotic</t>
  </si>
  <si>
    <t>9.6K followers. 195 posts. Automotive, Aircraft, Boat. Chauffeur + bodyguard services. Fleet: BMW M3, Acura NSX, Lambo, Mercedes S, Escalade.</t>
  </si>
  <si>
    <t>Multi-service: cars, aircraft, boats, bodyguard. Unique offering.</t>
  </si>
  <si>
    <t>Broadway Supercars</t>
  </si>
  <si>
    <t>@broadway_supercars</t>
  </si>
  <si>
    <t>broadwaysupercars.com</t>
  </si>
  <si>
    <t>5K followers. 40 posts. Downtown NYC (10003). 'Experience Your Dream Car.' Aston Martin, Lambo.</t>
  </si>
  <si>
    <t>Downtown NYC location. Experience-focused.</t>
  </si>
  <si>
    <t>Monaco Experiences</t>
  </si>
  <si>
    <t>NJ/NYC/Philly/Chicago</t>
  </si>
  <si>
    <t>NJ</t>
  </si>
  <si>
    <t>@monacoexperiences</t>
  </si>
  <si>
    <t>monacoexperiences.com</t>
  </si>
  <si>
    <t>3.5K followers. 359 posts. MULTI-CITY: NJ, NYC, Philly, Chicago. Exotic/luxury/vintage. Weddings, photoshoots, self-drive.</t>
  </si>
  <si>
    <t>4-CITY operator. Weddings + events specialist. Vintage car niche. Cross-market complexity.</t>
  </si>
  <si>
    <t>FORZA Motorclub</t>
  </si>
  <si>
    <t>@forzamotorclub</t>
  </si>
  <si>
    <t>forzamotorclub.com</t>
  </si>
  <si>
    <t>941 followers. 8 posts. 'Exotics. Experience. Community. Based in NYC, connected everywhere.' Lambo, Porsche, Bentley.</t>
  </si>
  <si>
    <t>Community-focused. Small but engaged.</t>
  </si>
  <si>
    <t>Apex Exotics NYC</t>
  </si>
  <si>
    <t>@apexexoticsnyc</t>
  </si>
  <si>
    <t>apexexoticsnyc.com</t>
  </si>
  <si>
    <t>748 followers. 8 posts. NYC/NJ/CT coverage. Emerging.</t>
  </si>
  <si>
    <t>Tri-state coverage. Early stage.</t>
  </si>
  <si>
    <t>Houston</t>
  </si>
  <si>
    <t>Crosta</t>
  </si>
  <si>
    <t>Royalty Exotic Cars</t>
  </si>
  <si>
    <t>NV</t>
  </si>
  <si>
    <t>@royaltyexoticcars</t>
  </si>
  <si>
    <t>royaltyexoticcars.com</t>
  </si>
  <si>
    <t>50-100+</t>
  </si>
  <si>
    <t>357K followers. 1000+ posts. Owner: Houston Crosta. Hypercar fleet. Manual Murcielago conversions. ~10 years in business.</t>
  </si>
  <si>
    <t>TOP TARGET. 357K followers. Hypercar specialist. Owner Houston Crosta identified. Market-defining operation.</t>
  </si>
  <si>
    <t>Dream Exotics</t>
  </si>
  <si>
    <t>@dreamcarslasvegas</t>
  </si>
  <si>
    <t>dreamexoticrentalcars.com</t>
  </si>
  <si>
    <t>100+</t>
  </si>
  <si>
    <t>2.7K followers. 500+ posts. Claims 'Largest exotic rental car company in America.' No deposit, free shuttle, delivery/pickup.</t>
  </si>
  <si>
    <t>Claims largest fleet in America (100+ vehicles). No-deposit model. Near the Strip.</t>
  </si>
  <si>
    <t>LVC Exotic Car Rentals</t>
  </si>
  <si>
    <t>@lvcexotics_</t>
  </si>
  <si>
    <t>lvcexotics.com</t>
  </si>
  <si>
    <t>25-40</t>
  </si>
  <si>
    <t>21K followers. 400+ posts. 'Las Vegas #1 premiere exotic car rental agency.' Phone: (702) 586-0008.</t>
  </si>
  <si>
    <t>Self-proclaimed #1. Strong local presence. Phone available.</t>
  </si>
  <si>
    <t>Diplomat Exotic Rentals</t>
  </si>
  <si>
    <t>@diplomatrentals</t>
  </si>
  <si>
    <t>diplomatrentals.com</t>
  </si>
  <si>
    <t>14K followers. Daily specials on exotic + luxury cars. Aggressive pricing strategy.</t>
  </si>
  <si>
    <t>Daily deals model. Volume-focused operation.</t>
  </si>
  <si>
    <t>777 Exotics Car Rentals</t>
  </si>
  <si>
    <t>@777exoticslv</t>
  </si>
  <si>
    <t>777exoticslv.com</t>
  </si>
  <si>
    <t>30-50</t>
  </si>
  <si>
    <t>2.6K followers. 600+ posts. Exotic/luxury/classic/wedding. Also in LA. 83 reviews, perfect rating. Over a decade in business.</t>
  </si>
  <si>
    <t>Dual market: Vegas + LA. Perfect review score. Classic car niche. 10+ years.</t>
  </si>
  <si>
    <t>Lanier Luxury Rentals</t>
  </si>
  <si>
    <t>@lanierluxuryrentals</t>
  </si>
  <si>
    <t>lanierluxuryrental.com</t>
  </si>
  <si>
    <t>'Highest rated Sport, Exotic &amp; Luxury Car rental service in Las Vegas.' Quality/rating focused.</t>
  </si>
  <si>
    <t>Quality-first positioning.</t>
  </si>
  <si>
    <t>Suite Life Auto Society</t>
  </si>
  <si>
    <t>@suitelifeautosociety</t>
  </si>
  <si>
    <t>Lifestyle brand. Lambo Huracan, Porsche 911 Turbo S, Audi RS7.</t>
  </si>
  <si>
    <t>Lifestyle/influencer positioning.</t>
  </si>
  <si>
    <t>Kovacs Luxury Car Rental</t>
  </si>
  <si>
    <t>@kovacslv</t>
  </si>
  <si>
    <t>Daily/weekly/monthly rental terms. Flexible.</t>
  </si>
  <si>
    <t>Flexible rental terms. B2B/corporate angle.</t>
  </si>
  <si>
    <t>LA Exotic Car Rentals</t>
  </si>
  <si>
    <t>CA</t>
  </si>
  <si>
    <t>@laexoticrentals</t>
  </si>
  <si>
    <t>laexoticcarrentalsandsales.com</t>
  </si>
  <si>
    <t>30+</t>
  </si>
  <si>
    <t>226K followers. Phone: (626) 202-3270. Valid license + insurance req. Lambo, Ferrari, Porsche, Mercedes, BMW, Audi.</t>
  </si>
  <si>
    <t>TOP TARGET. 226K followers. Massive market presence.</t>
  </si>
  <si>
    <t>Vem Exotic Rentals</t>
  </si>
  <si>
    <t>@vemexotics</t>
  </si>
  <si>
    <t>vemexoticrentals.com</t>
  </si>
  <si>
    <t>132K followers. 572 posts. VERIFIED. 'Serving All of Los Angeles.' CELEBS category. Ferrari, Lambo, Corvette, BMW, Maybach, Rolls.</t>
  </si>
  <si>
    <t>TOP TARGET. 132K, verified. Celebrity clientele. Serves all LA.</t>
  </si>
  <si>
    <t>Davinci Motors</t>
  </si>
  <si>
    <t>@davincimotors</t>
  </si>
  <si>
    <t>davinci-motors.com</t>
  </si>
  <si>
    <t>60.7K followers. 664 posts. Address: 2517 Lincoln Blvd, LA 90291. Phone: 323.471.7721. Curbside delivery. Diverse fleet incl Etron, Range Rover, Macan.</t>
  </si>
  <si>
    <t>60K followers. Curbside delivery model. Strong phone presence.</t>
  </si>
  <si>
    <t>777 Exotics LA</t>
  </si>
  <si>
    <t>@777exotics</t>
  </si>
  <si>
    <t>777exotics.com</t>
  </si>
  <si>
    <t>21.2K followers. 818 posts. Address: 2900 S Robertson, LA 90034. Also in Vegas. Film/music video/commercial production specialty. 10+ year brand.</t>
  </si>
  <si>
    <t>DUAL MARKET: LA + Vegas. Production/film industry specialist. 10+ years.</t>
  </si>
  <si>
    <t>Jungle Exotics</t>
  </si>
  <si>
    <t>@jungleexotic</t>
  </si>
  <si>
    <t>jungleexotic.com</t>
  </si>
  <si>
    <t>20K followers. VERIFIED. OC + LA. 'For Young Hustlers 18+.' Custom MSO finishes (Tokyo Cyan, Frozen Black). BMW M4, Urus, McLaren 720S.</t>
  </si>
  <si>
    <t>Verified. Young demographic focus (18+). Custom builds. OC+LA.</t>
  </si>
  <si>
    <t>Royal Exotic Lifestyle</t>
  </si>
  <si>
    <t>@royalexoticlifestyle</t>
  </si>
  <si>
    <t>royalexoticcarrental.com</t>
  </si>
  <si>
    <t>15K followers. 701 posts. Address: 1525 S La Cienega Blvd, LA 90035. Phone: 844-474-4748. Fleet: Lambo, Bentley, Rolls (Phantom/Dawn/Cullinan/Ghost), Mercedes. Forgiato wheels.</t>
  </si>
  <si>
    <t>La Cienega Blvd location. Lifestyle positioning.</t>
  </si>
  <si>
    <t>Los Angeles Exotic Car Rentals</t>
  </si>
  <si>
    <t>@la.exotic.rentals</t>
  </si>
  <si>
    <t>116K followers. Chauffeur + video production support. Daily/weekly/monthly/yearly.</t>
  </si>
  <si>
    <t>116K followers. Video production support differentiator.</t>
  </si>
  <si>
    <t>Beverly Hills Car Rental</t>
  </si>
  <si>
    <t>Beverly Hills</t>
  </si>
  <si>
    <t>bhcarrental.com</t>
  </si>
  <si>
    <t>30 YEAR history in LA luxury rental. Fleet: Rolls, Bentley, Aston Martin, Land Rover, McLaren, Mercedes, BMW, Porsche, Audi, Ferrari, Lambo, Maserati.</t>
  </si>
  <si>
    <t>30-year legacy operation. Beverly Hills. Institution in the market.</t>
  </si>
  <si>
    <t>Falcon Car Rental</t>
  </si>
  <si>
    <t>@falcon_lifestyle</t>
  </si>
  <si>
    <t>falconcarrental.com</t>
  </si>
  <si>
    <t>23.7K followers. 2,213 posts. Address: 499 N Canon Dr, Beverly Hills 90210. Est 2015. Also in Miami. Expanding to Dubai/Monaco/London.</t>
  </si>
  <si>
    <t>Beverly Hills flagship. MULTI-MARKET: BH + Miami + expanding internationally. 23.7K followers.</t>
  </si>
  <si>
    <t>Exotic Car Rental DTLA</t>
  </si>
  <si>
    <t>@exoticcarrentaldtla</t>
  </si>
  <si>
    <t>exoticcarrentaldtla.com</t>
  </si>
  <si>
    <t>3K followers. Address: 1111 W Olympic Blvd, LA 90015. Phone: (888) 511-1108. Airport services.</t>
  </si>
  <si>
    <t>Downtown LA. Airport pick-up/drop-off.</t>
  </si>
  <si>
    <t>Club Sportiva</t>
  </si>
  <si>
    <t>San Jose</t>
  </si>
  <si>
    <t>@clubsportiva</t>
  </si>
  <si>
    <t>clubsportiva.com</t>
  </si>
  <si>
    <t>7.9K followers. 325 posts. MEMBERS CLUB model. Address: 521 Charcot Ave, San Jose 95131. Multi-million dollar collection. Concierge, storage, detailing, transport, tours, networking events.</t>
  </si>
  <si>
    <t>DIFFERENT MODEL: Membership club + car collection access. Silicon Valley. Concierge, storage, events. Premium B2B.</t>
  </si>
  <si>
    <t>Falcon Car Rental (SF)</t>
  </si>
  <si>
    <t>San Francisco</t>
  </si>
  <si>
    <t>23.7K followers. Beverly Hills primary, serves SF. Est 2015. Expanding to Dubai/Monaco/London.</t>
  </si>
  <si>
    <t>LA-based, expanding to SF. Already in pipeline under LA tab too.</t>
  </si>
  <si>
    <t>Instant Luxury Rental (SF)</t>
  </si>
  <si>
    <t>@instantluxuryrental</t>
  </si>
  <si>
    <t>7.7K followers. 131 posts. National platform serving SF. Free delivery/pickup. Fleet: Bugatti Chiron, Mercedes, Ferrari, Porsche, Bentley, Rolls, Lambo, McLaren.</t>
  </si>
  <si>
    <t>National platform. Free delivery model.</t>
  </si>
  <si>
    <t>Silicon Valley Exotics</t>
  </si>
  <si>
    <t>@svexotic</t>
  </si>
  <si>
    <t>svexoticsteam@gmail.com</t>
  </si>
  <si>
    <t>svexotic.com</t>
  </si>
  <si>
    <t>3.2K followers. 369 posts. CHAUFFEURED classic + exotic. Weddings, receptions, photoshoots, corporate events. Phone: 408-515-7866. Vintage fleet: 1964 Lincoln Continental, 1951 Rolls Wraith, 1940 Packard.</t>
  </si>
  <si>
    <t>Classic/vintage specialist. Wedding + corporate events. Silicon Valley tech crowd.</t>
  </si>
  <si>
    <t>Hype Rentcar</t>
  </si>
  <si>
    <t>@hype.rentcar</t>
  </si>
  <si>
    <t>1.2K followers. 18 posts. No deposit, free delivery, insurance included, driver/photographer available. Phone: 415-748-9697. Fleet: Porsche Cayenne, BMW X7, M440i, Escalade, S63/G63 AMG.</t>
  </si>
  <si>
    <t>Photographer/content creator angle. No deposit model.</t>
  </si>
  <si>
    <t>OTS &amp; Co</t>
  </si>
  <si>
    <t>@otsandco</t>
  </si>
  <si>
    <t>shopotsandco.com</t>
  </si>
  <si>
    <t>7.8K followers. 141 posts. Collector car sales. Founders: @dtamscott, @tottisracing, @drivewithrobert. Rare Porsches (incl 911R), Mercedes, custom builds.</t>
  </si>
  <si>
    <t>Collector car sales/community. Identified founders. Different model but adjacent.</t>
  </si>
  <si>
    <t>Bay Area Luxuries</t>
  </si>
  <si>
    <t>@bayarealuxuries</t>
  </si>
  <si>
    <t>Bayarealuxuries@gmail.com</t>
  </si>
  <si>
    <t>bayarealuxuries.com</t>
  </si>
  <si>
    <t>Phone: 669-301-2051. Luxury car rental marketplace. Emerging.</t>
  </si>
  <si>
    <t>Emerging local player. Email and phone available.</t>
  </si>
  <si>
    <t>Hussian</t>
  </si>
  <si>
    <t>Alsaadi</t>
  </si>
  <si>
    <t>My Sugar Exotics</t>
  </si>
  <si>
    <t>Washington DC</t>
  </si>
  <si>
    <t>DC</t>
  </si>
  <si>
    <t>@mysugarexotics</t>
  </si>
  <si>
    <t>mysugarexotics.com</t>
  </si>
  <si>
    <t>DC/DMV</t>
  </si>
  <si>
    <t>56.4K followers. 102 posts. Founder: Hussian Alsaadi (started at 22). DC/MD/VA + nationwide delivery. Ferrari, Lambo, Rolls, Porsche.</t>
  </si>
  <si>
    <t>TOP TARGET. 56K followers. Founder identified (Hussian Alsaadi). Nationwide delivery. Young founder story.</t>
  </si>
  <si>
    <t>DC Exotic Rentals</t>
  </si>
  <si>
    <t>@dc.exotic.rentals</t>
  </si>
  <si>
    <t>dcexoticrentals.com</t>
  </si>
  <si>
    <t>11.8K followers. 15 posts. '#1 exotic car rental company in DMV and New England.' Also @boston.exotic.rentals.</t>
  </si>
  <si>
    <t>DMV + New England. Multi-region. Low posting = growth opportunity.</t>
  </si>
  <si>
    <t>Pressure Exotic Rentals</t>
  </si>
  <si>
    <t>Fairfax</t>
  </si>
  <si>
    <t>VA</t>
  </si>
  <si>
    <t>@pressureexoticdmv</t>
  </si>
  <si>
    <t>8.7K followers. 45 posts. Owners: @scboateng + @angelikaboateng. Fairfax VA base. Turo partnership.</t>
  </si>
  <si>
    <t>Owners identified on IG. Fairfax VA base. Also on Turo.</t>
  </si>
  <si>
    <t>RS Luxury Rentals</t>
  </si>
  <si>
    <t>Maryland</t>
  </si>
  <si>
    <t>MD</t>
  </si>
  <si>
    <t>@rsluxury_rentals</t>
  </si>
  <si>
    <t>rs-luxury.com</t>
  </si>
  <si>
    <t>4K followers. 69 posts. VERIFIED. Luxury cars + Sprinter vans. Weddings, funerals, VIP events, airport transport. Phone: (301) 615-1545.</t>
  </si>
  <si>
    <t>Verified. Unique niche: funerals + events. Sprinter vans.</t>
  </si>
  <si>
    <t>CMG Exotics</t>
  </si>
  <si>
    <t>@cmgexotics</t>
  </si>
  <si>
    <t>cmgexotics.com</t>
  </si>
  <si>
    <t>2K followers. 19 posts. VERIFIED. 'Curators of performance and luxury driving.' Memberships + chauffeur. Tesla, Lambo, Porsche, BMW, Mercedes. Target: business leaders, celebrities, musicians.</t>
  </si>
  <si>
    <t>Verified. Membership model. 'Curators' positioning. Premium clientele.</t>
  </si>
  <si>
    <t>ExoDrive Exotics</t>
  </si>
  <si>
    <t>Rockville</t>
  </si>
  <si>
    <t>@exodriveexotics</t>
  </si>
  <si>
    <t>exodrive.co</t>
  </si>
  <si>
    <t>922 followers. 90 posts. Address: Rockville MD (5 min from Dulles). Phone: (301) 300-4609. Email: exodrivexotics@gmail.com. Fleet: Urus, Maybach. 21+ req.</t>
  </si>
  <si>
    <t>Near Dulles airport. Full contact info available.</t>
  </si>
  <si>
    <t>Shaod's Exotics</t>
  </si>
  <si>
    <t>@shaodsexotics</t>
  </si>
  <si>
    <t>1.4K followers. 42 posts. CEO: @daboatgoat. Phone: 202-900-2921. Prom market ($850 one-way, $1,300 round trip). Rolls Royce.</t>
  </si>
  <si>
    <t>CEO identified on IG. Prom market specialist. Phone available.</t>
  </si>
  <si>
    <t>DriveDMV</t>
  </si>
  <si>
    <t>@drivedmv</t>
  </si>
  <si>
    <t>drivedmv.com</t>
  </si>
  <si>
    <t>1.6K followers. 28 posts. DC/MD/VA. 18+ (broader market). Entertainment: music videos, films. Weddings.</t>
  </si>
  <si>
    <t>18+ age requirement (broader). Entertainment/production angle.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</si>
</sst>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13">
    <font>
      <sz val="11.0"/>
      <color rgb="FF000000"/>
      <name val="Calibri"/>
      <scheme val="minor"/>
    </font>
    <font>
      <sz val="12.0"/>
      <color rgb="FF000000"/>
      <name val="Calibri"/>
    </font>
    <font>
      <sz val="14.0"/>
      <color rgb="FF000000"/>
      <name val="Calibri"/>
    </font>
    <font>
      <u/>
      <sz val="12.0"/>
      <color rgb="FF0000FF"/>
      <name val="Calibri"/>
    </font>
    <font>
      <b/>
      <sz val="10.0"/>
      <color rgb="FFFFFFFF"/>
      <name val="Arial"/>
    </font>
    <font>
      <sz val="10.0"/>
      <color rgb="FF000000"/>
      <name val="Arial"/>
    </font>
    <font>
      <b/>
      <sz val="10.0"/>
      <color rgb="FF000000"/>
      <name val="Arial"/>
    </font>
    <font>
      <sz val="11.0"/>
      <color rgb="FF000000"/>
      <name val="Calibri"/>
    </font>
    <font>
      <u/>
      <sz val="11.0"/>
      <color rgb="FF000000"/>
      <name val="Calibri"/>
    </font>
    <font>
      <color rgb="FFFFFFFF"/>
      <name val="System-ui"/>
    </font>
    <font>
      <color theme="1"/>
      <name val="Calibri"/>
      <scheme val="minor"/>
    </font>
    <font>
      <u/>
      <sz val="11.0"/>
      <color rgb="FF000000"/>
      <name val="Calibri"/>
    </font>
    <font>
      <u/>
      <sz val="11.0"/>
      <color rgb="FF0000FF"/>
      <name val="Calibri"/>
    </font>
  </fonts>
  <fills count="16">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1B2A4A"/>
        <bgColor rgb="FF1B2A4A"/>
      </patternFill>
    </fill>
    <fill>
      <patternFill patternType="solid">
        <fgColor rgb="FFFFFFFF"/>
        <bgColor rgb="FFFFFFFF"/>
      </patternFill>
    </fill>
    <fill>
      <patternFill patternType="solid">
        <fgColor rgb="FFFFF9C4"/>
        <bgColor rgb="FFFFF9C4"/>
      </patternFill>
    </fill>
    <fill>
      <patternFill patternType="solid">
        <fgColor rgb="FFF3F3F3"/>
        <bgColor rgb="FFF3F3F3"/>
      </patternFill>
    </fill>
    <fill>
      <patternFill patternType="solid">
        <fgColor rgb="FFFFE0B2"/>
        <bgColor rgb="FFFFE0B2"/>
      </patternFill>
    </fill>
    <fill>
      <patternFill patternType="solid">
        <fgColor rgb="FFFFCDD2"/>
        <bgColor rgb="FFFFCDD2"/>
      </patternFill>
    </fill>
    <fill>
      <patternFill patternType="solid">
        <fgColor rgb="FFC8E6C9"/>
        <bgColor rgb="FFC8E6C9"/>
      </patternFill>
    </fill>
    <fill>
      <patternFill patternType="solid">
        <fgColor rgb="FF4A5DF9"/>
        <bgColor rgb="FF4A5DF9"/>
      </patternFill>
    </fill>
    <fill>
      <patternFill patternType="solid">
        <fgColor rgb="FFDCEDC8"/>
        <bgColor rgb="FFDCEDC8"/>
      </patternFill>
    </fill>
    <fill>
      <patternFill patternType="solid">
        <fgColor rgb="FFEA9999"/>
        <bgColor rgb="FFEA9999"/>
      </patternFill>
    </fill>
    <fill>
      <patternFill patternType="solid">
        <fgColor rgb="FF1A1A2E"/>
        <bgColor rgb="FF1A1A2E"/>
      </patternFill>
    </fill>
    <fill>
      <patternFill patternType="solid">
        <fgColor rgb="FFE8F0FE"/>
        <bgColor rgb="FFE8F0FE"/>
      </patternFill>
    </fill>
  </fills>
  <borders count="18">
    <border/>
    <border>
      <left/>
      <right/>
      <top/>
      <bottom/>
    </border>
    <border>
      <left style="thin">
        <color rgb="FFD9D9D9"/>
      </left>
      <right style="thin">
        <color rgb="FFD9D9D9"/>
      </right>
      <top style="thin">
        <color rgb="FFD9D9D9"/>
      </top>
      <bottom style="thin">
        <color rgb="FFD9D9D9"/>
      </bottom>
    </border>
    <border>
      <left style="thin">
        <color rgb="FFAAAAAA"/>
      </left>
      <right style="thin">
        <color rgb="FFAAAAAA"/>
      </right>
      <top style="thin">
        <color rgb="FFD9D9D9"/>
      </top>
      <bottom style="thin">
        <color rgb="FFAAAAAA"/>
      </bottom>
    </border>
    <border>
      <left style="thin">
        <color rgb="FFAAAAAA"/>
      </left>
      <right style="thin">
        <color rgb="FFD9D9D9"/>
      </right>
      <top style="thin">
        <color rgb="FFD9D9D9"/>
      </top>
      <bottom style="thin">
        <color rgb="FFAAAAAA"/>
      </bottom>
    </border>
    <border>
      <left style="thin">
        <color rgb="FFD9D9D9"/>
      </left>
      <right style="thin">
        <color rgb="FFAAAAAA"/>
      </right>
      <top style="thin">
        <color rgb="FFD9D9D9"/>
      </top>
      <bottom style="thin">
        <color rgb="FFAAAAAA"/>
      </bottom>
    </border>
    <border>
      <left style="thin">
        <color rgb="FFD9D9D9"/>
      </left>
      <right style="thin">
        <color rgb="FFD9D9D9"/>
      </right>
      <top style="thin">
        <color rgb="FFD9D9D9"/>
      </top>
      <bottom style="thin">
        <color rgb="FFAAAAAA"/>
      </bottom>
    </border>
    <border>
      <left style="thin">
        <color rgb="FFD9D9D9"/>
      </left>
      <right style="thin">
        <color rgb="FFAAAAAA"/>
      </right>
      <top style="thin">
        <color rgb="FFD9D9D9"/>
      </top>
      <bottom style="thin">
        <color rgb="FFD9D9D9"/>
      </bottom>
    </border>
    <border>
      <left style="thin">
        <color rgb="FFAAAAAA"/>
      </left>
      <right style="thin">
        <color rgb="FFAAAAAA"/>
      </right>
      <top style="thin">
        <color rgb="FFAAAAAA"/>
      </top>
      <bottom style="thin">
        <color rgb="FFAAAAAA"/>
      </bottom>
    </border>
    <border>
      <left style="thin">
        <color rgb="FFAAAAAA"/>
      </left>
      <right style="thin">
        <color rgb="FFD9D9D9"/>
      </right>
      <top style="thin">
        <color rgb="FFAAAAAA"/>
      </top>
      <bottom style="thin">
        <color rgb="FFAAAAAA"/>
      </bottom>
    </border>
    <border>
      <left style="thin">
        <color rgb="FFD9D9D9"/>
      </left>
      <right style="thin">
        <color rgb="FFAAAAAA"/>
      </right>
      <top style="thin">
        <color rgb="FFAAAAAA"/>
      </top>
      <bottom style="thin">
        <color rgb="FFAAAAAA"/>
      </bottom>
    </border>
    <border>
      <left style="thin">
        <color rgb="FFD9D9D9"/>
      </left>
      <right style="thin">
        <color rgb="FFD9D9D9"/>
      </right>
      <top style="thin">
        <color rgb="FFAAAAAA"/>
      </top>
      <bottom style="thin">
        <color rgb="FFAAAAAA"/>
      </bottom>
    </border>
    <border>
      <left style="thin">
        <color rgb="FFAAAAAA"/>
      </left>
      <right style="thin">
        <color rgb="FFAAAAAA"/>
      </right>
      <top style="thin">
        <color rgb="FFAAAAAA"/>
      </top>
      <bottom style="thin">
        <color rgb="FFD9D9D9"/>
      </bottom>
    </border>
    <border>
      <left style="thin">
        <color rgb="FFAAAAAA"/>
      </left>
      <right style="thin">
        <color rgb="FFD9D9D9"/>
      </right>
      <top style="thin">
        <color rgb="FFAAAAAA"/>
      </top>
      <bottom style="thin">
        <color rgb="FFD9D9D9"/>
      </bottom>
    </border>
    <border>
      <left style="thin">
        <color rgb="FFD9D9D9"/>
      </left>
      <right style="thin">
        <color rgb="FFAAAAAA"/>
      </right>
      <top style="thin">
        <color rgb="FFAAAAAA"/>
      </top>
      <bottom style="thin">
        <color rgb="FFD9D9D9"/>
      </bottom>
    </border>
    <border>
      <left style="thin">
        <color rgb="FFAAAAAA"/>
      </left>
      <right style="thin">
        <color rgb="FFAAAAAA"/>
      </right>
      <top style="thin">
        <color rgb="FFD9D9D9"/>
      </top>
      <bottom style="thin">
        <color rgb="FFD9D9D9"/>
      </bottom>
    </border>
    <border>
      <left style="thin">
        <color rgb="FFAAAAAA"/>
      </left>
      <right style="thin">
        <color rgb="FFD9D9D9"/>
      </right>
      <top style="thin">
        <color rgb="FFD9D9D9"/>
      </top>
      <bottom style="thin">
        <color rgb="FFD9D9D9"/>
      </bottom>
    </border>
    <border>
      <left style="thin">
        <color rgb="FFD9D9D9"/>
      </left>
      <right style="thin">
        <color rgb="FFD9D9D9"/>
      </right>
      <top style="thin">
        <color rgb="FFAAAAAA"/>
      </top>
      <bottom style="thin">
        <color rgb="FFD9D9D9"/>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4" fontId="4" numFmtId="49" xfId="0" applyAlignment="1" applyBorder="1" applyFill="1" applyFont="1" applyNumberFormat="1">
      <alignment horizontal="center" shrinkToFit="0" vertical="center" wrapText="1"/>
    </xf>
    <xf borderId="2" fillId="4" fontId="4" numFmtId="49" xfId="0" applyAlignment="1" applyBorder="1" applyFont="1" applyNumberFormat="1">
      <alignment horizontal="center" readingOrder="0" shrinkToFit="0" vertical="center" wrapText="1"/>
    </xf>
    <xf borderId="2" fillId="5" fontId="5" numFmtId="0" xfId="0" applyAlignment="1" applyBorder="1" applyFill="1" applyFont="1">
      <alignment shrinkToFit="0" vertical="center" wrapText="1"/>
    </xf>
    <xf borderId="2" fillId="5" fontId="5" numFmtId="49" xfId="0" applyAlignment="1" applyBorder="1" applyFont="1" applyNumberFormat="1">
      <alignment shrinkToFit="0" vertical="center" wrapText="1"/>
    </xf>
    <xf borderId="2" fillId="5" fontId="5" numFmtId="49" xfId="0" applyAlignment="1" applyBorder="1" applyFont="1" applyNumberFormat="1">
      <alignment vertical="bottom"/>
    </xf>
    <xf borderId="2" fillId="6" fontId="6" numFmtId="0" xfId="0" applyAlignment="1" applyBorder="1" applyFill="1" applyFont="1">
      <alignment horizontal="center" shrinkToFit="0" vertical="center" wrapText="1"/>
    </xf>
    <xf borderId="2" fillId="5" fontId="7" numFmtId="0" xfId="0" applyAlignment="1" applyBorder="1" applyFont="1">
      <alignment vertical="bottom"/>
    </xf>
    <xf borderId="2" fillId="7" fontId="6" numFmtId="49" xfId="0" applyAlignment="1" applyBorder="1" applyFill="1" applyFont="1" applyNumberFormat="1">
      <alignment readingOrder="0" shrinkToFit="0" vertical="center" wrapText="1"/>
    </xf>
    <xf borderId="2" fillId="8" fontId="6" numFmtId="0" xfId="0" applyAlignment="1" applyBorder="1" applyFill="1" applyFont="1">
      <alignment horizontal="center" shrinkToFit="0" vertical="center" wrapText="1"/>
    </xf>
    <xf borderId="2" fillId="9" fontId="6" numFmtId="0" xfId="0" applyAlignment="1" applyBorder="1" applyFill="1" applyFont="1">
      <alignment horizontal="center" shrinkToFit="0" vertical="center" wrapText="1"/>
    </xf>
    <xf borderId="2" fillId="5" fontId="8" numFmtId="0" xfId="0" applyAlignment="1" applyBorder="1" applyFont="1">
      <alignment readingOrder="0" vertical="bottom"/>
    </xf>
    <xf borderId="2" fillId="10" fontId="6" numFmtId="0" xfId="0" applyAlignment="1" applyBorder="1" applyFill="1" applyFont="1">
      <alignment horizontal="center" shrinkToFit="0" vertical="center" wrapText="1"/>
    </xf>
    <xf borderId="2" fillId="5" fontId="7" numFmtId="0" xfId="0" applyAlignment="1" applyBorder="1" applyFont="1">
      <alignment horizontal="center" vertical="bottom"/>
    </xf>
    <xf borderId="2" fillId="5" fontId="7" numFmtId="0" xfId="0" applyAlignment="1" applyBorder="1" applyFont="1">
      <alignment readingOrder="0" vertical="bottom"/>
    </xf>
    <xf borderId="2" fillId="5" fontId="5" numFmtId="49" xfId="0" applyAlignment="1" applyBorder="1" applyFont="1" applyNumberFormat="1">
      <alignment readingOrder="0" vertical="bottom"/>
    </xf>
    <xf borderId="2" fillId="5" fontId="5" numFmtId="49" xfId="0" applyAlignment="1" applyBorder="1" applyFont="1" applyNumberFormat="1">
      <alignment readingOrder="0" shrinkToFit="0" vertical="center" wrapText="1"/>
    </xf>
    <xf borderId="0" fillId="11" fontId="9" numFmtId="0" xfId="0" applyAlignment="1" applyFill="1" applyFont="1">
      <alignment readingOrder="0" shrinkToFit="0" wrapText="1"/>
    </xf>
    <xf borderId="2" fillId="12" fontId="6" numFmtId="0" xfId="0" applyAlignment="1" applyBorder="1" applyFill="1" applyFont="1">
      <alignment horizontal="center" shrinkToFit="0" vertical="center" wrapText="1"/>
    </xf>
    <xf borderId="2" fillId="9" fontId="5" numFmtId="49" xfId="0" applyAlignment="1" applyBorder="1" applyFont="1" applyNumberFormat="1">
      <alignment shrinkToFit="0" vertical="center" wrapText="1"/>
    </xf>
    <xf borderId="2" fillId="0" fontId="5" numFmtId="49" xfId="0" applyAlignment="1" applyBorder="1" applyFont="1" applyNumberFormat="1">
      <alignment readingOrder="0" shrinkToFit="0" vertical="center" wrapText="1"/>
    </xf>
    <xf borderId="2" fillId="5" fontId="7" numFmtId="164" xfId="0" applyAlignment="1" applyBorder="1" applyFont="1" applyNumberFormat="1">
      <alignment readingOrder="0" vertical="bottom"/>
    </xf>
    <xf borderId="2" fillId="5" fontId="7" numFmtId="0" xfId="0" applyAlignment="1" applyBorder="1" applyFont="1">
      <alignment readingOrder="0" shrinkToFit="0" vertical="bottom" wrapText="1"/>
    </xf>
    <xf borderId="2" fillId="5" fontId="7" numFmtId="0" xfId="0" applyAlignment="1" applyBorder="1" applyFont="1">
      <alignment readingOrder="0" shrinkToFit="0" vertical="bottom" wrapText="0"/>
    </xf>
    <xf borderId="0" fillId="0" fontId="10" numFmtId="49" xfId="0" applyAlignment="1" applyFont="1" applyNumberFormat="1">
      <alignment readingOrder="0" shrinkToFit="0" wrapText="0"/>
    </xf>
    <xf borderId="2" fillId="8" fontId="6" numFmtId="0" xfId="0" applyAlignment="1" applyBorder="1" applyFont="1">
      <alignment shrinkToFit="0" vertical="center" wrapText="1"/>
    </xf>
    <xf borderId="2" fillId="6" fontId="6" numFmtId="0" xfId="0" applyAlignment="1" applyBorder="1" applyFont="1">
      <alignment shrinkToFit="0" vertical="center" wrapText="1"/>
    </xf>
    <xf borderId="2" fillId="13" fontId="7" numFmtId="0" xfId="0" applyAlignment="1" applyBorder="1" applyFill="1" applyFont="1">
      <alignment readingOrder="0" vertical="bottom"/>
    </xf>
    <xf borderId="3" fillId="5" fontId="7" numFmtId="0" xfId="0" applyAlignment="1" applyBorder="1" applyFont="1">
      <alignment vertical="bottom"/>
    </xf>
    <xf borderId="4" fillId="5" fontId="7" numFmtId="0" xfId="0" applyAlignment="1" applyBorder="1" applyFont="1">
      <alignment vertical="bottom"/>
    </xf>
    <xf borderId="4" fillId="5" fontId="7" numFmtId="0" xfId="0" applyAlignment="1" applyBorder="1" applyFont="1">
      <alignment readingOrder="0" vertical="bottom"/>
    </xf>
    <xf borderId="5" fillId="5" fontId="7" numFmtId="0" xfId="0" applyAlignment="1" applyBorder="1" applyFont="1">
      <alignment vertical="bottom"/>
    </xf>
    <xf borderId="6" fillId="5" fontId="7" numFmtId="0" xfId="0" applyAlignment="1" applyBorder="1" applyFont="1">
      <alignment vertical="bottom"/>
    </xf>
    <xf borderId="2" fillId="6" fontId="6" numFmtId="0" xfId="0" applyAlignment="1" applyBorder="1" applyFont="1">
      <alignment readingOrder="0" shrinkToFit="0" vertical="center" wrapText="1"/>
    </xf>
    <xf borderId="7" fillId="5" fontId="7" numFmtId="0" xfId="0" applyAlignment="1" applyBorder="1" applyFont="1">
      <alignment readingOrder="0" vertical="bottom"/>
    </xf>
    <xf borderId="3" fillId="5" fontId="7" numFmtId="0" xfId="0" applyAlignment="1" applyBorder="1" applyFont="1">
      <alignment readingOrder="0" vertical="bottom"/>
    </xf>
    <xf borderId="8" fillId="5" fontId="7" numFmtId="0" xfId="0" applyAlignment="1" applyBorder="1" applyFont="1">
      <alignment vertical="bottom"/>
    </xf>
    <xf borderId="8" fillId="5" fontId="7" numFmtId="0" xfId="0" applyAlignment="1" applyBorder="1" applyFont="1">
      <alignment readingOrder="0" vertical="bottom"/>
    </xf>
    <xf borderId="9" fillId="5" fontId="7" numFmtId="0" xfId="0" applyAlignment="1" applyBorder="1" applyFont="1">
      <alignment readingOrder="0" vertical="bottom"/>
    </xf>
    <xf borderId="10" fillId="5" fontId="11" numFmtId="0" xfId="0" applyAlignment="1" applyBorder="1" applyFont="1">
      <alignment readingOrder="0" vertical="bottom"/>
    </xf>
    <xf borderId="9" fillId="5" fontId="12" numFmtId="0" xfId="0" applyAlignment="1" applyBorder="1" applyFont="1">
      <alignment readingOrder="0" vertical="bottom"/>
    </xf>
    <xf borderId="10" fillId="5" fontId="7" numFmtId="0" xfId="0" applyAlignment="1" applyBorder="1" applyFont="1">
      <alignment vertical="bottom"/>
    </xf>
    <xf borderId="9" fillId="5" fontId="7" numFmtId="0" xfId="0" applyAlignment="1" applyBorder="1" applyFont="1">
      <alignment vertical="bottom"/>
    </xf>
    <xf borderId="11" fillId="5" fontId="7" numFmtId="0" xfId="0" applyAlignment="1" applyBorder="1" applyFont="1">
      <alignment vertical="bottom"/>
    </xf>
    <xf borderId="2" fillId="12" fontId="6" numFmtId="0" xfId="0" applyAlignment="1" applyBorder="1" applyFont="1">
      <alignment shrinkToFit="0" vertical="center" wrapText="1"/>
    </xf>
    <xf borderId="11" fillId="5" fontId="7" numFmtId="0" xfId="0" applyAlignment="1" applyBorder="1" applyFont="1">
      <alignment readingOrder="0" vertical="bottom"/>
    </xf>
    <xf borderId="7" fillId="5" fontId="7" numFmtId="0" xfId="0" applyAlignment="1" applyBorder="1" applyFont="1">
      <alignment vertical="bottom"/>
    </xf>
    <xf borderId="2" fillId="9" fontId="6" numFmtId="0" xfId="0" applyAlignment="1" applyBorder="1" applyFont="1">
      <alignment shrinkToFit="0" vertical="center" wrapText="1"/>
    </xf>
    <xf borderId="12" fillId="5" fontId="7" numFmtId="0" xfId="0" applyAlignment="1" applyBorder="1" applyFont="1">
      <alignment vertical="bottom"/>
    </xf>
    <xf borderId="13" fillId="5" fontId="7" numFmtId="0" xfId="0" applyAlignment="1" applyBorder="1" applyFont="1">
      <alignment vertical="bottom"/>
    </xf>
    <xf borderId="14" fillId="5" fontId="7" numFmtId="0" xfId="0" applyAlignment="1" applyBorder="1" applyFont="1">
      <alignment vertical="bottom"/>
    </xf>
    <xf borderId="10" fillId="13" fontId="7" numFmtId="0" xfId="0" applyAlignment="1" applyBorder="1" applyFont="1">
      <alignment readingOrder="0" shrinkToFit="0" vertical="bottom" wrapText="1"/>
    </xf>
    <xf borderId="10" fillId="5" fontId="7" numFmtId="0" xfId="0" applyAlignment="1" applyBorder="1" applyFont="1">
      <alignment readingOrder="0" shrinkToFit="0" vertical="bottom" wrapText="1"/>
    </xf>
    <xf borderId="8" fillId="5" fontId="7" numFmtId="164" xfId="0" applyAlignment="1" applyBorder="1" applyFont="1" applyNumberFormat="1">
      <alignment readingOrder="0" vertical="bottom"/>
    </xf>
    <xf borderId="10" fillId="5" fontId="7" numFmtId="0" xfId="0" applyAlignment="1" applyBorder="1" applyFont="1">
      <alignment readingOrder="0" shrinkToFit="0" vertical="bottom" wrapText="0"/>
    </xf>
    <xf borderId="8" fillId="7" fontId="7" numFmtId="0" xfId="0" applyAlignment="1" applyBorder="1" applyFont="1">
      <alignment vertical="bottom"/>
    </xf>
    <xf borderId="0" fillId="0" fontId="7" numFmtId="0" xfId="0" applyAlignment="1" applyFont="1">
      <alignment vertical="bottom"/>
    </xf>
    <xf borderId="0" fillId="7" fontId="7" numFmtId="0" xfId="0" applyAlignment="1" applyFont="1">
      <alignment vertical="bottom"/>
    </xf>
    <xf borderId="2" fillId="5" fontId="5" numFmtId="0" xfId="0" applyAlignment="1" applyBorder="1" applyFont="1">
      <alignment vertical="bottom"/>
    </xf>
    <xf borderId="2" fillId="5" fontId="6" numFmtId="49" xfId="0" applyAlignment="1" applyBorder="1" applyFont="1" applyNumberFormat="1">
      <alignment vertical="bottom"/>
    </xf>
    <xf borderId="2" fillId="5" fontId="6" numFmtId="0" xfId="0" applyAlignment="1" applyBorder="1" applyFont="1">
      <alignment vertical="bottom"/>
    </xf>
    <xf borderId="2" fillId="14" fontId="4" numFmtId="49" xfId="0" applyAlignment="1" applyBorder="1" applyFill="1" applyFont="1" applyNumberFormat="1">
      <alignment horizontal="center" shrinkToFit="0" vertical="center" wrapText="1"/>
    </xf>
    <xf borderId="15" fillId="5" fontId="7" numFmtId="0" xfId="0" applyAlignment="1" applyBorder="1" applyFont="1">
      <alignment vertical="bottom"/>
    </xf>
    <xf borderId="16" fillId="5" fontId="7" numFmtId="0" xfId="0" applyAlignment="1" applyBorder="1" applyFont="1">
      <alignment vertical="bottom"/>
    </xf>
    <xf borderId="7" fillId="5" fontId="5" numFmtId="49" xfId="0" applyAlignment="1" applyBorder="1" applyFont="1" applyNumberFormat="1">
      <alignment vertical="bottom"/>
    </xf>
    <xf borderId="2" fillId="15" fontId="5" numFmtId="49" xfId="0" applyAlignment="1" applyBorder="1" applyFill="1" applyFont="1" applyNumberFormat="1">
      <alignment shrinkToFit="0" vertical="center" wrapText="1"/>
    </xf>
    <xf borderId="2" fillId="10" fontId="6" numFmtId="0" xfId="0" applyAlignment="1" applyBorder="1" applyFont="1">
      <alignment shrinkToFit="0" vertical="center" wrapText="1"/>
    </xf>
    <xf borderId="17" fillId="5" fontId="7"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jasoncuza/" TargetMode="External"/><Relationship Id="rId2" Type="http://schemas.openxmlformats.org/officeDocument/2006/relationships/hyperlink" Target="https://www.instagram.com/jay_cuza/"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c r="B21" s="3" t="s">
        <v>11</v>
      </c>
      <c r="C21" s="3"/>
      <c r="D21" s="3"/>
    </row>
    <row r="22" ht="12.75" customHeight="1">
      <c r="B22" s="4"/>
      <c r="C22" s="4" t="s">
        <v>5</v>
      </c>
      <c r="D22" s="5" t="s">
        <v>11</v>
      </c>
    </row>
    <row r="23" ht="12.75" customHeight="1">
      <c r="B23" s="3" t="s">
        <v>12</v>
      </c>
      <c r="C23" s="3"/>
      <c r="D23" s="3"/>
    </row>
    <row r="24" ht="12.75" customHeight="1">
      <c r="B24" s="4"/>
      <c r="C24" s="4" t="s">
        <v>5</v>
      </c>
      <c r="D24" s="5" t="s">
        <v>12</v>
      </c>
    </row>
    <row r="25" ht="12.75" customHeight="1">
      <c r="B25" s="3" t="s">
        <v>13</v>
      </c>
      <c r="C25" s="3"/>
      <c r="D25" s="3"/>
    </row>
    <row r="26" ht="12.75" customHeight="1">
      <c r="B26" s="4"/>
      <c r="C26" s="4" t="s">
        <v>5</v>
      </c>
      <c r="D26" s="5" t="s">
        <v>13</v>
      </c>
    </row>
    <row r="27" ht="12.75" customHeight="1">
      <c r="B27" s="3" t="s">
        <v>14</v>
      </c>
      <c r="C27" s="3"/>
      <c r="D27" s="3"/>
    </row>
    <row r="28" ht="12.75" customHeight="1">
      <c r="B28" s="4"/>
      <c r="C28" s="4" t="s">
        <v>5</v>
      </c>
      <c r="D28" s="5" t="s">
        <v>14</v>
      </c>
    </row>
    <row r="29" ht="12.75" customHeight="1">
      <c r="B29" s="3" t="s">
        <v>15</v>
      </c>
      <c r="C29" s="3"/>
      <c r="D29" s="3"/>
    </row>
    <row r="30" ht="12.75" customHeight="1">
      <c r="B30" s="4"/>
      <c r="C30" s="4" t="s">
        <v>5</v>
      </c>
      <c r="D30" s="5" t="s">
        <v>15</v>
      </c>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Miami Operators" location="'Miami Operators'!R1C1" ref="D10"/>
    <hyperlink display="Daily Activity Log" location="'Daily Activity Log'!R1C1" ref="D12"/>
    <hyperlink display="Lead Source Tracker" location="'Lead Source Tracker'!R1C1" ref="D14"/>
    <hyperlink display="Phoenix Scottsdale" location="'Phoenix Scottsdale'!R1C1" ref="D16"/>
    <hyperlink display="Dallas Fort Worth" location="'Dallas Fort Worth'!R1C1" ref="D18"/>
    <hyperlink display="Atlanta" location="Atlanta!R1C1" ref="D20"/>
    <hyperlink display="NYC" location="NYC!R1C1" ref="D22"/>
    <hyperlink display="Las Vegas" location="'Las Vegas'!R1C1" ref="D24"/>
    <hyperlink display="Los Angeles" location="'Los Angeles'!R1C1" ref="D26"/>
    <hyperlink display="SF Bay Area" location="'SF Bay Area'!R1C1" ref="D28"/>
    <hyperlink display="DC DMV" location="'DC DMV'!R1C1" ref="D3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8.29"/>
    <col customWidth="1" min="23" max="23" width="63.14"/>
    <col customWidth="1" min="24" max="24" width="26.43"/>
    <col customWidth="1" min="25" max="26" width="18.0"/>
    <col customWidth="1" min="27" max="27" width="26.86"/>
    <col customWidth="1" min="28" max="28" width="45.0"/>
    <col customWidth="1" min="29" max="29" width="18.0"/>
    <col customWidth="1" min="30" max="30" width="45.0"/>
    <col customWidth="1" min="31" max="31" width="14.0"/>
    <col customWidth="1" min="32" max="32" width="16.0"/>
    <col customWidth="1" min="33" max="33" width="18.0"/>
    <col customWidth="1" min="34" max="34" width="12.0"/>
    <col customWidth="1" min="35" max="35" width="18.0"/>
    <col customWidth="1" min="36" max="36" width="16.0"/>
    <col customWidth="1" min="37" max="37" width="40.0"/>
  </cols>
  <sheetData>
    <row r="1" ht="23.25" customHeight="1">
      <c r="A1" s="6" t="s">
        <v>16</v>
      </c>
      <c r="B1" s="6" t="s">
        <v>17</v>
      </c>
      <c r="C1" s="6" t="s">
        <v>18</v>
      </c>
      <c r="D1" s="6" t="s">
        <v>19</v>
      </c>
      <c r="E1" s="6" t="s">
        <v>20</v>
      </c>
      <c r="F1" s="6" t="s">
        <v>21</v>
      </c>
      <c r="G1" s="6" t="s">
        <v>22</v>
      </c>
      <c r="H1" s="6" t="s">
        <v>23</v>
      </c>
      <c r="I1" s="6" t="s">
        <v>24</v>
      </c>
      <c r="J1" s="6" t="s">
        <v>25</v>
      </c>
      <c r="K1" s="6" t="s">
        <v>26</v>
      </c>
      <c r="L1" s="6" t="s">
        <v>27</v>
      </c>
      <c r="M1" s="6" t="s">
        <v>28</v>
      </c>
      <c r="N1" s="7" t="s">
        <v>29</v>
      </c>
      <c r="O1" s="6" t="s">
        <v>30</v>
      </c>
      <c r="P1" s="6" t="s">
        <v>31</v>
      </c>
      <c r="Q1" s="6" t="s">
        <v>32</v>
      </c>
      <c r="R1" s="6" t="s">
        <v>33</v>
      </c>
      <c r="S1" s="6" t="s">
        <v>34</v>
      </c>
      <c r="T1" s="6" t="s">
        <v>35</v>
      </c>
      <c r="U1" s="6" t="s">
        <v>36</v>
      </c>
      <c r="V1" s="6"/>
      <c r="W1" s="6" t="s">
        <v>37</v>
      </c>
      <c r="X1" s="7" t="s">
        <v>38</v>
      </c>
      <c r="Y1" s="6" t="s">
        <v>39</v>
      </c>
      <c r="Z1" s="7" t="s">
        <v>40</v>
      </c>
      <c r="AA1" s="6" t="s">
        <v>41</v>
      </c>
      <c r="AB1" s="6" t="s">
        <v>42</v>
      </c>
      <c r="AC1" s="6" t="s">
        <v>43</v>
      </c>
      <c r="AD1" s="6" t="s">
        <v>44</v>
      </c>
      <c r="AE1" s="6" t="s">
        <v>45</v>
      </c>
      <c r="AF1" s="6" t="s">
        <v>46</v>
      </c>
      <c r="AG1" s="6" t="s">
        <v>47</v>
      </c>
      <c r="AH1" s="6" t="s">
        <v>48</v>
      </c>
      <c r="AI1" s="6" t="s">
        <v>49</v>
      </c>
      <c r="AJ1" s="6" t="s">
        <v>50</v>
      </c>
      <c r="AK1" s="6" t="s">
        <v>51</v>
      </c>
    </row>
    <row r="2" ht="23.25" customHeight="1">
      <c r="A2" s="8"/>
      <c r="B2" s="8"/>
      <c r="C2" s="9" t="s">
        <v>52</v>
      </c>
      <c r="D2" s="9" t="s">
        <v>53</v>
      </c>
      <c r="E2" s="9" t="s">
        <v>54</v>
      </c>
      <c r="F2" s="9" t="s">
        <v>55</v>
      </c>
      <c r="G2" s="9" t="s">
        <v>56</v>
      </c>
      <c r="H2" s="9" t="s">
        <v>57</v>
      </c>
      <c r="I2" s="9" t="s">
        <v>58</v>
      </c>
      <c r="J2" s="9" t="s">
        <v>59</v>
      </c>
      <c r="K2" s="8"/>
      <c r="L2" s="9" t="s">
        <v>60</v>
      </c>
      <c r="M2" s="9" t="s">
        <v>61</v>
      </c>
      <c r="N2" s="9" t="s">
        <v>62</v>
      </c>
      <c r="O2" s="9" t="s">
        <v>63</v>
      </c>
      <c r="P2" s="8"/>
      <c r="Q2" s="8"/>
      <c r="R2" s="10" t="s">
        <v>57</v>
      </c>
      <c r="S2" s="11">
        <v>3.0</v>
      </c>
      <c r="T2" s="12"/>
      <c r="U2" s="12"/>
      <c r="V2" s="13" t="s">
        <v>64</v>
      </c>
      <c r="W2" s="12"/>
      <c r="X2" s="12"/>
      <c r="Y2" s="9" t="s">
        <v>65</v>
      </c>
      <c r="Z2" s="9"/>
      <c r="AA2" s="12"/>
      <c r="AB2" s="12"/>
      <c r="AC2" s="12"/>
      <c r="AD2" s="12"/>
      <c r="AE2" s="12"/>
      <c r="AF2" s="12"/>
      <c r="AG2" s="12"/>
      <c r="AH2" s="12"/>
      <c r="AI2" s="12"/>
      <c r="AJ2" s="10" t="s">
        <v>66</v>
      </c>
      <c r="AK2" s="9" t="s">
        <v>67</v>
      </c>
    </row>
    <row r="3" ht="23.25" customHeight="1">
      <c r="A3" s="8"/>
      <c r="B3" s="8"/>
      <c r="C3" s="9" t="s">
        <v>52</v>
      </c>
      <c r="D3" s="9" t="s">
        <v>68</v>
      </c>
      <c r="E3" s="9" t="s">
        <v>69</v>
      </c>
      <c r="F3" s="9" t="s">
        <v>70</v>
      </c>
      <c r="G3" s="9" t="s">
        <v>71</v>
      </c>
      <c r="H3" s="9" t="s">
        <v>72</v>
      </c>
      <c r="I3" s="9" t="s">
        <v>58</v>
      </c>
      <c r="J3" s="9" t="s">
        <v>73</v>
      </c>
      <c r="K3" s="9" t="s">
        <v>74</v>
      </c>
      <c r="L3" s="9" t="s">
        <v>75</v>
      </c>
      <c r="M3" s="8"/>
      <c r="N3" s="9" t="s">
        <v>76</v>
      </c>
      <c r="O3" s="9" t="s">
        <v>63</v>
      </c>
      <c r="P3" s="8"/>
      <c r="Q3" s="8"/>
      <c r="R3" s="10" t="s">
        <v>57</v>
      </c>
      <c r="S3" s="14">
        <v>2.0</v>
      </c>
      <c r="T3" s="12"/>
      <c r="U3" s="12"/>
      <c r="V3" s="13" t="s">
        <v>64</v>
      </c>
      <c r="W3" s="12"/>
      <c r="X3" s="12"/>
      <c r="Y3" s="9" t="s">
        <v>65</v>
      </c>
      <c r="Z3" s="9"/>
      <c r="AA3" s="12"/>
      <c r="AB3" s="12"/>
      <c r="AC3" s="12"/>
      <c r="AD3" s="12"/>
      <c r="AE3" s="12"/>
      <c r="AF3" s="12"/>
      <c r="AG3" s="12"/>
      <c r="AH3" s="12"/>
      <c r="AI3" s="12"/>
      <c r="AJ3" s="10" t="s">
        <v>66</v>
      </c>
      <c r="AK3" s="12"/>
    </row>
    <row r="4" ht="23.25" customHeight="1">
      <c r="A4" s="8"/>
      <c r="B4" s="8"/>
      <c r="C4" s="9" t="s">
        <v>52</v>
      </c>
      <c r="D4" s="9" t="s">
        <v>77</v>
      </c>
      <c r="E4" s="9" t="s">
        <v>78</v>
      </c>
      <c r="F4" s="9" t="s">
        <v>79</v>
      </c>
      <c r="G4" s="9" t="s">
        <v>80</v>
      </c>
      <c r="H4" s="9" t="s">
        <v>81</v>
      </c>
      <c r="I4" s="9" t="s">
        <v>58</v>
      </c>
      <c r="J4" s="9" t="s">
        <v>82</v>
      </c>
      <c r="K4" s="8"/>
      <c r="L4" s="9" t="s">
        <v>83</v>
      </c>
      <c r="M4" s="8"/>
      <c r="N4" s="9" t="s">
        <v>84</v>
      </c>
      <c r="O4" s="9" t="s">
        <v>63</v>
      </c>
      <c r="P4" s="8"/>
      <c r="Q4" s="8"/>
      <c r="R4" s="10" t="s">
        <v>81</v>
      </c>
      <c r="S4" s="15">
        <v>1.0</v>
      </c>
      <c r="T4" s="16" t="s">
        <v>85</v>
      </c>
      <c r="U4" s="12"/>
      <c r="V4" s="13" t="s">
        <v>86</v>
      </c>
      <c r="W4" s="12"/>
      <c r="X4" s="12"/>
      <c r="Y4" s="12"/>
      <c r="Z4" s="12"/>
      <c r="AA4" s="12"/>
      <c r="AB4" s="12"/>
      <c r="AC4" s="12"/>
      <c r="AD4" s="12"/>
      <c r="AE4" s="12"/>
      <c r="AF4" s="12"/>
      <c r="AG4" s="12"/>
      <c r="AH4" s="12"/>
      <c r="AI4" s="12"/>
      <c r="AJ4" s="10" t="s">
        <v>66</v>
      </c>
      <c r="AK4" s="12"/>
    </row>
    <row r="5" ht="34.5" customHeight="1">
      <c r="A5" s="8"/>
      <c r="B5" s="8"/>
      <c r="C5" s="9" t="s">
        <v>87</v>
      </c>
      <c r="D5" s="9" t="s">
        <v>88</v>
      </c>
      <c r="E5" s="9" t="s">
        <v>89</v>
      </c>
      <c r="F5" s="9" t="s">
        <v>90</v>
      </c>
      <c r="G5" s="9" t="s">
        <v>91</v>
      </c>
      <c r="H5" s="9" t="s">
        <v>92</v>
      </c>
      <c r="I5" s="9" t="s">
        <v>93</v>
      </c>
      <c r="J5" s="9" t="s">
        <v>94</v>
      </c>
      <c r="K5" s="9" t="s">
        <v>95</v>
      </c>
      <c r="L5" s="9" t="s">
        <v>96</v>
      </c>
      <c r="M5" s="8"/>
      <c r="N5" s="9" t="s">
        <v>97</v>
      </c>
      <c r="O5" s="9" t="s">
        <v>63</v>
      </c>
      <c r="P5" s="9" t="s">
        <v>98</v>
      </c>
      <c r="Q5" s="8"/>
      <c r="R5" s="10" t="s">
        <v>92</v>
      </c>
      <c r="S5" s="17">
        <v>5.0</v>
      </c>
      <c r="T5" s="12"/>
      <c r="U5" s="9" t="s">
        <v>99</v>
      </c>
      <c r="V5" s="13" t="s">
        <v>100</v>
      </c>
      <c r="W5" s="9" t="s">
        <v>101</v>
      </c>
      <c r="X5" s="12"/>
      <c r="Y5" s="12"/>
      <c r="Z5" s="12"/>
      <c r="AA5" s="12"/>
      <c r="AB5" s="12"/>
      <c r="AC5" s="12"/>
      <c r="AD5" s="12"/>
      <c r="AE5" s="12"/>
      <c r="AF5" s="12"/>
      <c r="AG5" s="12"/>
      <c r="AH5" s="12"/>
      <c r="AI5" s="12"/>
      <c r="AJ5" s="10" t="s">
        <v>66</v>
      </c>
      <c r="AK5" s="12"/>
    </row>
    <row r="6" ht="34.5" customHeight="1">
      <c r="A6" s="8"/>
      <c r="B6" s="8"/>
      <c r="C6" s="9" t="s">
        <v>52</v>
      </c>
      <c r="D6" s="9" t="s">
        <v>102</v>
      </c>
      <c r="E6" s="9" t="s">
        <v>103</v>
      </c>
      <c r="F6" s="9" t="s">
        <v>104</v>
      </c>
      <c r="G6" s="9" t="s">
        <v>91</v>
      </c>
      <c r="H6" s="9" t="s">
        <v>92</v>
      </c>
      <c r="I6" s="9" t="s">
        <v>93</v>
      </c>
      <c r="J6" s="9" t="s">
        <v>105</v>
      </c>
      <c r="K6" s="9" t="s">
        <v>106</v>
      </c>
      <c r="L6" s="9" t="s">
        <v>96</v>
      </c>
      <c r="M6" s="8"/>
      <c r="N6" s="9" t="s">
        <v>97</v>
      </c>
      <c r="O6" s="9" t="s">
        <v>63</v>
      </c>
      <c r="P6" s="9" t="s">
        <v>98</v>
      </c>
      <c r="Q6" s="8"/>
      <c r="R6" s="10" t="s">
        <v>92</v>
      </c>
      <c r="S6" s="18"/>
      <c r="T6" s="12"/>
      <c r="U6" s="12"/>
      <c r="V6" s="13" t="s">
        <v>107</v>
      </c>
      <c r="W6" s="12"/>
      <c r="X6" s="12"/>
      <c r="Y6" s="12"/>
      <c r="Z6" s="12"/>
      <c r="AA6" s="12"/>
      <c r="AB6" s="12"/>
      <c r="AC6" s="12"/>
      <c r="AD6" s="12"/>
      <c r="AE6" s="9" t="s">
        <v>52</v>
      </c>
      <c r="AF6" s="9" t="s">
        <v>108</v>
      </c>
      <c r="AG6" s="12"/>
      <c r="AH6" s="12"/>
      <c r="AI6" s="12"/>
      <c r="AJ6" s="10" t="s">
        <v>66</v>
      </c>
      <c r="AK6" s="9" t="s">
        <v>109</v>
      </c>
    </row>
    <row r="7" ht="23.25" customHeight="1">
      <c r="A7" s="8"/>
      <c r="B7" s="19" t="s">
        <v>110</v>
      </c>
      <c r="C7" s="9" t="s">
        <v>52</v>
      </c>
      <c r="D7" s="9" t="s">
        <v>111</v>
      </c>
      <c r="E7" s="9" t="s">
        <v>112</v>
      </c>
      <c r="F7" s="9" t="s">
        <v>113</v>
      </c>
      <c r="G7" s="9" t="s">
        <v>114</v>
      </c>
      <c r="H7" s="9" t="s">
        <v>72</v>
      </c>
      <c r="I7" s="9" t="s">
        <v>58</v>
      </c>
      <c r="J7" s="9" t="s">
        <v>115</v>
      </c>
      <c r="K7" s="8"/>
      <c r="L7" s="9" t="s">
        <v>116</v>
      </c>
      <c r="M7" s="9" t="s">
        <v>117</v>
      </c>
      <c r="N7" s="9" t="s">
        <v>118</v>
      </c>
      <c r="O7" s="9" t="s">
        <v>63</v>
      </c>
      <c r="P7" s="8"/>
      <c r="Q7" s="8"/>
      <c r="R7" s="20" t="s">
        <v>119</v>
      </c>
      <c r="S7" s="11">
        <v>3.0</v>
      </c>
      <c r="T7" s="19" t="s">
        <v>110</v>
      </c>
      <c r="U7" s="12"/>
      <c r="V7" s="13" t="s">
        <v>64</v>
      </c>
      <c r="W7" s="21" t="s">
        <v>120</v>
      </c>
      <c r="X7" s="12"/>
      <c r="Y7" s="12"/>
      <c r="Z7" s="12"/>
      <c r="AA7" s="12"/>
      <c r="AB7" s="12"/>
      <c r="AC7" s="12"/>
      <c r="AD7" s="12"/>
      <c r="AE7" s="9" t="s">
        <v>52</v>
      </c>
      <c r="AF7" s="9" t="s">
        <v>121</v>
      </c>
      <c r="AG7" s="12"/>
      <c r="AH7" s="12"/>
      <c r="AI7" s="12"/>
      <c r="AJ7" s="10" t="s">
        <v>66</v>
      </c>
      <c r="AK7" s="9" t="s">
        <v>122</v>
      </c>
    </row>
    <row r="8" ht="15.0" customHeight="1">
      <c r="A8" s="8"/>
      <c r="B8" s="19" t="s">
        <v>110</v>
      </c>
      <c r="C8" s="9" t="s">
        <v>87</v>
      </c>
      <c r="D8" s="9" t="s">
        <v>123</v>
      </c>
      <c r="E8" s="9" t="s">
        <v>124</v>
      </c>
      <c r="F8" s="9" t="s">
        <v>125</v>
      </c>
      <c r="G8" s="9" t="s">
        <v>114</v>
      </c>
      <c r="H8" s="9" t="s">
        <v>72</v>
      </c>
      <c r="I8" s="9" t="s">
        <v>58</v>
      </c>
      <c r="J8" s="9" t="s">
        <v>126</v>
      </c>
      <c r="K8" s="8"/>
      <c r="L8" s="9" t="s">
        <v>116</v>
      </c>
      <c r="M8" s="8"/>
      <c r="N8" s="8"/>
      <c r="O8" s="9" t="s">
        <v>63</v>
      </c>
      <c r="P8" s="8"/>
      <c r="Q8" s="8"/>
      <c r="R8" s="20" t="s">
        <v>119</v>
      </c>
      <c r="S8" s="18"/>
      <c r="T8" s="19" t="s">
        <v>110</v>
      </c>
      <c r="U8" s="12"/>
      <c r="V8" s="13" t="s">
        <v>127</v>
      </c>
      <c r="W8" s="12"/>
      <c r="X8" s="12"/>
      <c r="Y8" s="12"/>
      <c r="Z8" s="12"/>
      <c r="AA8" s="12"/>
      <c r="AB8" s="12"/>
      <c r="AC8" s="12"/>
      <c r="AD8" s="12"/>
      <c r="AE8" s="12"/>
      <c r="AF8" s="12"/>
      <c r="AG8" s="12"/>
      <c r="AH8" s="12"/>
      <c r="AI8" s="12"/>
      <c r="AJ8" s="10" t="s">
        <v>66</v>
      </c>
      <c r="AK8" s="12"/>
    </row>
    <row r="9" ht="23.25" customHeight="1">
      <c r="A9" s="8"/>
      <c r="B9" s="8"/>
      <c r="C9" s="9" t="s">
        <v>52</v>
      </c>
      <c r="D9" s="9" t="s">
        <v>128</v>
      </c>
      <c r="E9" s="9" t="s">
        <v>129</v>
      </c>
      <c r="F9" s="9" t="s">
        <v>130</v>
      </c>
      <c r="G9" s="9" t="s">
        <v>131</v>
      </c>
      <c r="H9" s="9" t="s">
        <v>132</v>
      </c>
      <c r="I9" s="9" t="s">
        <v>58</v>
      </c>
      <c r="J9" s="9" t="s">
        <v>133</v>
      </c>
      <c r="K9" s="9" t="s">
        <v>134</v>
      </c>
      <c r="L9" s="9" t="s">
        <v>135</v>
      </c>
      <c r="M9" s="8"/>
      <c r="N9" s="9" t="s">
        <v>136</v>
      </c>
      <c r="O9" s="9" t="s">
        <v>63</v>
      </c>
      <c r="P9" s="8"/>
      <c r="Q9" s="8"/>
      <c r="R9" s="10" t="s">
        <v>132</v>
      </c>
      <c r="S9" s="14">
        <v>2.0</v>
      </c>
      <c r="T9" s="12"/>
      <c r="U9" s="12"/>
      <c r="V9" s="13" t="s">
        <v>64</v>
      </c>
      <c r="W9" s="12"/>
      <c r="X9" s="12"/>
      <c r="Y9" s="9" t="s">
        <v>65</v>
      </c>
      <c r="Z9" s="9"/>
      <c r="AA9" s="12"/>
      <c r="AB9" s="12"/>
      <c r="AC9" s="12"/>
      <c r="AD9" s="12"/>
      <c r="AE9" s="12"/>
      <c r="AF9" s="12"/>
      <c r="AG9" s="12"/>
      <c r="AH9" s="12"/>
      <c r="AI9" s="12"/>
      <c r="AJ9" s="10" t="s">
        <v>66</v>
      </c>
      <c r="AK9" s="12"/>
    </row>
    <row r="10" ht="23.25" customHeight="1">
      <c r="A10" s="8"/>
      <c r="B10" s="8"/>
      <c r="C10" s="9" t="s">
        <v>52</v>
      </c>
      <c r="D10" s="9" t="s">
        <v>137</v>
      </c>
      <c r="E10" s="9" t="s">
        <v>138</v>
      </c>
      <c r="F10" s="9" t="s">
        <v>139</v>
      </c>
      <c r="G10" s="9" t="s">
        <v>140</v>
      </c>
      <c r="H10" s="9" t="s">
        <v>57</v>
      </c>
      <c r="I10" s="9" t="s">
        <v>58</v>
      </c>
      <c r="J10" s="9" t="s">
        <v>141</v>
      </c>
      <c r="K10" s="9" t="s">
        <v>142</v>
      </c>
      <c r="L10" s="9" t="s">
        <v>143</v>
      </c>
      <c r="M10" s="9" t="s">
        <v>144</v>
      </c>
      <c r="N10" s="8"/>
      <c r="O10" s="9" t="s">
        <v>63</v>
      </c>
      <c r="P10" s="8"/>
      <c r="Q10" s="8"/>
      <c r="R10" s="10" t="s">
        <v>57</v>
      </c>
      <c r="S10" s="14">
        <v>2.0</v>
      </c>
      <c r="T10" s="12"/>
      <c r="U10" s="12"/>
      <c r="V10" s="13" t="s">
        <v>64</v>
      </c>
      <c r="W10" s="12"/>
      <c r="X10" s="12"/>
      <c r="Y10" s="9" t="s">
        <v>65</v>
      </c>
      <c r="Z10" s="9"/>
      <c r="AA10" s="12"/>
      <c r="AB10" s="12"/>
      <c r="AC10" s="12"/>
      <c r="AD10" s="12"/>
      <c r="AE10" s="12"/>
      <c r="AF10" s="12"/>
      <c r="AG10" s="12"/>
      <c r="AH10" s="12"/>
      <c r="AI10" s="12"/>
      <c r="AJ10" s="10" t="s">
        <v>66</v>
      </c>
      <c r="AK10" s="12"/>
    </row>
    <row r="11" ht="23.25" customHeight="1">
      <c r="A11" s="8"/>
      <c r="B11" s="8"/>
      <c r="C11" s="9" t="s">
        <v>52</v>
      </c>
      <c r="D11" s="9" t="s">
        <v>145</v>
      </c>
      <c r="E11" s="9" t="s">
        <v>146</v>
      </c>
      <c r="F11" s="9" t="s">
        <v>139</v>
      </c>
      <c r="G11" s="9" t="s">
        <v>147</v>
      </c>
      <c r="H11" s="9" t="s">
        <v>81</v>
      </c>
      <c r="I11" s="9" t="s">
        <v>58</v>
      </c>
      <c r="J11" s="9" t="s">
        <v>148</v>
      </c>
      <c r="K11" s="9" t="s">
        <v>149</v>
      </c>
      <c r="L11" s="9" t="s">
        <v>150</v>
      </c>
      <c r="M11" s="9" t="s">
        <v>151</v>
      </c>
      <c r="N11" s="9" t="s">
        <v>152</v>
      </c>
      <c r="O11" s="9" t="s">
        <v>63</v>
      </c>
      <c r="P11" s="8"/>
      <c r="Q11" s="8"/>
      <c r="R11" s="10" t="s">
        <v>81</v>
      </c>
      <c r="S11" s="11">
        <v>3.0</v>
      </c>
      <c r="T11" s="12"/>
      <c r="U11" s="12"/>
      <c r="V11" s="13" t="s">
        <v>64</v>
      </c>
      <c r="W11" s="12"/>
      <c r="X11" s="12"/>
      <c r="Y11" s="9" t="s">
        <v>65</v>
      </c>
      <c r="Z11" s="9"/>
      <c r="AA11" s="12"/>
      <c r="AB11" s="12"/>
      <c r="AC11" s="12"/>
      <c r="AD11" s="12"/>
      <c r="AE11" s="12"/>
      <c r="AF11" s="12"/>
      <c r="AG11" s="12"/>
      <c r="AH11" s="12"/>
      <c r="AI11" s="12"/>
      <c r="AJ11" s="10" t="s">
        <v>66</v>
      </c>
      <c r="AK11" s="12"/>
    </row>
    <row r="12" ht="23.25" customHeight="1">
      <c r="A12" s="8"/>
      <c r="B12" s="8"/>
      <c r="C12" s="9" t="s">
        <v>52</v>
      </c>
      <c r="D12" s="9" t="s">
        <v>153</v>
      </c>
      <c r="E12" s="9" t="s">
        <v>154</v>
      </c>
      <c r="F12" s="9" t="s">
        <v>155</v>
      </c>
      <c r="G12" s="9" t="s">
        <v>156</v>
      </c>
      <c r="H12" s="9" t="s">
        <v>57</v>
      </c>
      <c r="I12" s="9" t="s">
        <v>58</v>
      </c>
      <c r="J12" s="9" t="s">
        <v>157</v>
      </c>
      <c r="K12" s="9" t="s">
        <v>158</v>
      </c>
      <c r="L12" s="9" t="s">
        <v>159</v>
      </c>
      <c r="M12" s="8"/>
      <c r="N12" s="9" t="s">
        <v>160</v>
      </c>
      <c r="O12" s="9" t="s">
        <v>63</v>
      </c>
      <c r="P12" s="8"/>
      <c r="Q12" s="8"/>
      <c r="R12" s="10" t="s">
        <v>57</v>
      </c>
      <c r="S12" s="14">
        <v>2.0</v>
      </c>
      <c r="T12" s="12"/>
      <c r="U12" s="12"/>
      <c r="V12" s="13" t="s">
        <v>64</v>
      </c>
      <c r="W12" s="12"/>
      <c r="X12" s="22" t="s">
        <v>161</v>
      </c>
      <c r="Y12" s="12"/>
      <c r="Z12" s="12"/>
      <c r="AA12" s="12"/>
      <c r="AB12" s="12"/>
      <c r="AC12" s="12"/>
      <c r="AD12" s="12"/>
      <c r="AE12" s="12"/>
      <c r="AF12" s="12"/>
      <c r="AG12" s="12"/>
      <c r="AH12" s="12"/>
      <c r="AI12" s="12"/>
      <c r="AJ12" s="10" t="s">
        <v>66</v>
      </c>
      <c r="AK12" s="12"/>
    </row>
    <row r="13" ht="45.75" customHeight="1">
      <c r="A13" s="8"/>
      <c r="B13" s="8"/>
      <c r="C13" s="9" t="s">
        <v>52</v>
      </c>
      <c r="D13" s="9" t="s">
        <v>162</v>
      </c>
      <c r="E13" s="9" t="s">
        <v>163</v>
      </c>
      <c r="F13" s="9" t="s">
        <v>164</v>
      </c>
      <c r="G13" s="9" t="s">
        <v>165</v>
      </c>
      <c r="H13" s="9" t="s">
        <v>81</v>
      </c>
      <c r="I13" s="9" t="s">
        <v>58</v>
      </c>
      <c r="J13" s="9" t="s">
        <v>166</v>
      </c>
      <c r="K13" s="9" t="s">
        <v>167</v>
      </c>
      <c r="L13" s="9" t="s">
        <v>168</v>
      </c>
      <c r="M13" s="8"/>
      <c r="N13" s="9" t="s">
        <v>169</v>
      </c>
      <c r="O13" s="9" t="s">
        <v>63</v>
      </c>
      <c r="P13" s="8"/>
      <c r="Q13" s="8"/>
      <c r="R13" s="10" t="s">
        <v>81</v>
      </c>
      <c r="S13" s="23">
        <v>4.0</v>
      </c>
      <c r="T13" s="24" t="s">
        <v>170</v>
      </c>
      <c r="U13" s="12"/>
      <c r="V13" s="13" t="s">
        <v>64</v>
      </c>
      <c r="W13" s="21" t="s">
        <v>171</v>
      </c>
      <c r="X13" s="21" t="s">
        <v>171</v>
      </c>
      <c r="Y13" s="9" t="s">
        <v>172</v>
      </c>
      <c r="Z13" s="9"/>
      <c r="AA13" s="12"/>
      <c r="AB13" s="12"/>
      <c r="AC13" s="12"/>
      <c r="AD13" s="12"/>
      <c r="AE13" s="12"/>
      <c r="AF13" s="12"/>
      <c r="AG13" s="12"/>
      <c r="AH13" s="12"/>
      <c r="AI13" s="12"/>
      <c r="AJ13" s="10" t="s">
        <v>66</v>
      </c>
      <c r="AK13" s="9" t="s">
        <v>173</v>
      </c>
    </row>
    <row r="14" ht="23.25" customHeight="1">
      <c r="A14" s="8"/>
      <c r="B14" s="8"/>
      <c r="C14" s="21" t="s">
        <v>52</v>
      </c>
      <c r="D14" s="8"/>
      <c r="E14" s="8"/>
      <c r="F14" s="8"/>
      <c r="G14" s="9" t="s">
        <v>174</v>
      </c>
      <c r="H14" s="9" t="s">
        <v>175</v>
      </c>
      <c r="I14" s="9" t="s">
        <v>93</v>
      </c>
      <c r="J14" s="8"/>
      <c r="K14" s="8"/>
      <c r="L14" s="9" t="s">
        <v>176</v>
      </c>
      <c r="M14" s="9" t="s">
        <v>177</v>
      </c>
      <c r="N14" s="9" t="s">
        <v>178</v>
      </c>
      <c r="O14" s="9" t="s">
        <v>63</v>
      </c>
      <c r="P14" s="9" t="s">
        <v>179</v>
      </c>
      <c r="Q14" s="8"/>
      <c r="R14" s="10" t="s">
        <v>175</v>
      </c>
      <c r="S14" s="23">
        <v>4.0</v>
      </c>
      <c r="T14" s="25" t="s">
        <v>180</v>
      </c>
      <c r="U14" s="12"/>
      <c r="V14" s="13" t="s">
        <v>107</v>
      </c>
      <c r="W14" s="21" t="s">
        <v>181</v>
      </c>
      <c r="X14" s="21" t="s">
        <v>181</v>
      </c>
      <c r="Y14" s="26">
        <v>46101.0</v>
      </c>
      <c r="Z14" s="27" t="s">
        <v>182</v>
      </c>
      <c r="AA14" s="12"/>
      <c r="AB14" s="12"/>
      <c r="AC14" s="12"/>
      <c r="AD14" s="12"/>
      <c r="AE14" s="12"/>
      <c r="AF14" s="12"/>
      <c r="AG14" s="12"/>
      <c r="AH14" s="12"/>
      <c r="AI14" s="12"/>
      <c r="AJ14" s="10" t="s">
        <v>66</v>
      </c>
      <c r="AK14" s="9" t="s">
        <v>183</v>
      </c>
    </row>
    <row r="15" ht="23.25" customHeight="1">
      <c r="A15" s="8"/>
      <c r="B15" s="8"/>
      <c r="C15" s="9" t="s">
        <v>87</v>
      </c>
      <c r="D15" s="9" t="s">
        <v>184</v>
      </c>
      <c r="E15" s="9" t="s">
        <v>185</v>
      </c>
      <c r="F15" s="9" t="s">
        <v>186</v>
      </c>
      <c r="G15" s="9" t="s">
        <v>187</v>
      </c>
      <c r="H15" s="9" t="s">
        <v>92</v>
      </c>
      <c r="I15" s="9" t="s">
        <v>93</v>
      </c>
      <c r="J15" s="8"/>
      <c r="K15" s="8"/>
      <c r="L15" s="9" t="s">
        <v>188</v>
      </c>
      <c r="M15" s="9" t="s">
        <v>189</v>
      </c>
      <c r="N15" s="9" t="s">
        <v>190</v>
      </c>
      <c r="O15" s="9" t="s">
        <v>63</v>
      </c>
      <c r="P15" s="8"/>
      <c r="Q15" s="8"/>
      <c r="R15" s="10" t="s">
        <v>92</v>
      </c>
      <c r="S15" s="14">
        <v>2.0</v>
      </c>
      <c r="T15" s="9" t="s">
        <v>191</v>
      </c>
      <c r="U15" s="12"/>
      <c r="V15" s="13" t="s">
        <v>86</v>
      </c>
      <c r="W15" s="12"/>
      <c r="X15" s="12"/>
      <c r="Y15" s="12"/>
      <c r="Z15" s="12"/>
      <c r="AA15" s="12"/>
      <c r="AB15" s="12"/>
      <c r="AC15" s="12"/>
      <c r="AD15" s="12"/>
      <c r="AE15" s="12"/>
      <c r="AF15" s="12"/>
      <c r="AG15" s="12"/>
      <c r="AH15" s="12"/>
      <c r="AI15" s="12"/>
      <c r="AJ15" s="10" t="s">
        <v>66</v>
      </c>
      <c r="AK15" s="9" t="s">
        <v>192</v>
      </c>
    </row>
    <row r="16" ht="23.25" customHeight="1">
      <c r="A16" s="8"/>
      <c r="B16" s="8"/>
      <c r="C16" s="21" t="s">
        <v>52</v>
      </c>
      <c r="D16" s="9" t="s">
        <v>193</v>
      </c>
      <c r="E16" s="9" t="s">
        <v>194</v>
      </c>
      <c r="F16" s="9" t="s">
        <v>195</v>
      </c>
      <c r="G16" s="9" t="s">
        <v>196</v>
      </c>
      <c r="H16" s="9" t="s">
        <v>57</v>
      </c>
      <c r="I16" s="9" t="s">
        <v>93</v>
      </c>
      <c r="J16" s="8"/>
      <c r="K16" s="8"/>
      <c r="L16" s="9" t="s">
        <v>197</v>
      </c>
      <c r="M16" s="9" t="s">
        <v>198</v>
      </c>
      <c r="N16" s="9" t="s">
        <v>199</v>
      </c>
      <c r="O16" s="9" t="s">
        <v>63</v>
      </c>
      <c r="P16" s="9" t="s">
        <v>200</v>
      </c>
      <c r="Q16" s="8"/>
      <c r="R16" s="10" t="s">
        <v>57</v>
      </c>
      <c r="S16" s="17">
        <v>5.0</v>
      </c>
      <c r="T16" s="9" t="s">
        <v>201</v>
      </c>
      <c r="U16" s="21" t="s">
        <v>202</v>
      </c>
      <c r="V16" s="13" t="s">
        <v>107</v>
      </c>
      <c r="W16" s="21" t="s">
        <v>203</v>
      </c>
      <c r="X16" s="28" t="s">
        <v>203</v>
      </c>
      <c r="Y16" s="26">
        <v>46101.0</v>
      </c>
      <c r="Z16" s="27" t="s">
        <v>204</v>
      </c>
      <c r="AA16" s="27" t="s">
        <v>205</v>
      </c>
      <c r="AB16" s="12"/>
      <c r="AC16" s="12"/>
      <c r="AD16" s="12"/>
      <c r="AE16" s="12"/>
      <c r="AF16" s="12"/>
      <c r="AG16" s="12"/>
      <c r="AH16" s="12"/>
      <c r="AI16" s="12"/>
      <c r="AJ16" s="10" t="s">
        <v>66</v>
      </c>
      <c r="AK16" s="21" t="s">
        <v>206</v>
      </c>
    </row>
    <row r="17" ht="23.25" customHeight="1">
      <c r="A17" s="8"/>
      <c r="B17" s="8"/>
      <c r="C17" s="21" t="s">
        <v>52</v>
      </c>
      <c r="D17" s="9" t="s">
        <v>207</v>
      </c>
      <c r="E17" s="9" t="s">
        <v>208</v>
      </c>
      <c r="F17" s="8"/>
      <c r="G17" s="9" t="s">
        <v>209</v>
      </c>
      <c r="H17" s="9" t="s">
        <v>72</v>
      </c>
      <c r="I17" s="9" t="s">
        <v>93</v>
      </c>
      <c r="J17" s="8"/>
      <c r="K17" s="9" t="s">
        <v>210</v>
      </c>
      <c r="L17" s="9" t="s">
        <v>211</v>
      </c>
      <c r="M17" s="9" t="s">
        <v>212</v>
      </c>
      <c r="N17" s="9" t="s">
        <v>213</v>
      </c>
      <c r="O17" s="9" t="s">
        <v>63</v>
      </c>
      <c r="P17" s="9" t="s">
        <v>214</v>
      </c>
      <c r="Q17" s="8"/>
      <c r="R17" s="10" t="s">
        <v>57</v>
      </c>
      <c r="S17" s="17">
        <v>5.0</v>
      </c>
      <c r="T17" s="9" t="s">
        <v>215</v>
      </c>
      <c r="U17" s="9" t="s">
        <v>216</v>
      </c>
      <c r="V17" s="13" t="s">
        <v>64</v>
      </c>
      <c r="W17" s="21" t="s">
        <v>217</v>
      </c>
      <c r="X17" s="21" t="s">
        <v>217</v>
      </c>
      <c r="Y17" s="26">
        <v>46101.0</v>
      </c>
      <c r="Z17" s="12"/>
      <c r="AA17" s="12"/>
      <c r="AB17" s="12"/>
      <c r="AC17" s="12"/>
      <c r="AD17" s="12"/>
      <c r="AE17" s="12"/>
      <c r="AF17" s="12"/>
      <c r="AG17" s="12"/>
      <c r="AH17" s="12"/>
      <c r="AI17" s="12"/>
      <c r="AJ17" s="10" t="s">
        <v>66</v>
      </c>
      <c r="AK17" s="9" t="s">
        <v>218</v>
      </c>
    </row>
    <row r="18" ht="45.75" customHeight="1">
      <c r="A18" s="8"/>
      <c r="B18" s="8"/>
      <c r="C18" s="9" t="s">
        <v>87</v>
      </c>
      <c r="D18" s="9" t="s">
        <v>219</v>
      </c>
      <c r="E18" s="9" t="s">
        <v>220</v>
      </c>
      <c r="F18" s="9" t="s">
        <v>221</v>
      </c>
      <c r="G18" s="9" t="s">
        <v>222</v>
      </c>
      <c r="H18" s="9" t="s">
        <v>57</v>
      </c>
      <c r="I18" s="9" t="s">
        <v>93</v>
      </c>
      <c r="J18" s="8"/>
      <c r="K18" s="8"/>
      <c r="L18" s="9" t="s">
        <v>223</v>
      </c>
      <c r="M18" s="9" t="s">
        <v>224</v>
      </c>
      <c r="N18" s="9" t="s">
        <v>225</v>
      </c>
      <c r="O18" s="9" t="s">
        <v>63</v>
      </c>
      <c r="P18" s="9" t="s">
        <v>226</v>
      </c>
      <c r="Q18" s="8"/>
      <c r="R18" s="10" t="s">
        <v>57</v>
      </c>
      <c r="S18" s="17">
        <v>5.0</v>
      </c>
      <c r="T18" s="9" t="s">
        <v>227</v>
      </c>
      <c r="U18" s="9" t="s">
        <v>228</v>
      </c>
      <c r="V18" s="13" t="s">
        <v>127</v>
      </c>
      <c r="W18" s="9" t="s">
        <v>229</v>
      </c>
      <c r="X18" s="12"/>
      <c r="Y18" s="12"/>
      <c r="Z18" s="12"/>
      <c r="AA18" s="12"/>
      <c r="AB18" s="12"/>
      <c r="AC18" s="12"/>
      <c r="AD18" s="12"/>
      <c r="AE18" s="12"/>
      <c r="AF18" s="12"/>
      <c r="AG18" s="12"/>
      <c r="AH18" s="12"/>
      <c r="AI18" s="12"/>
      <c r="AJ18" s="10" t="s">
        <v>66</v>
      </c>
      <c r="AK18" s="9" t="s">
        <v>230</v>
      </c>
    </row>
    <row r="19" ht="23.25" customHeight="1">
      <c r="A19" s="8"/>
      <c r="B19" s="8"/>
      <c r="C19" s="21" t="s">
        <v>52</v>
      </c>
      <c r="D19" s="9" t="s">
        <v>231</v>
      </c>
      <c r="E19" s="9" t="s">
        <v>232</v>
      </c>
      <c r="F19" s="8"/>
      <c r="G19" s="9" t="s">
        <v>233</v>
      </c>
      <c r="H19" s="9" t="s">
        <v>57</v>
      </c>
      <c r="I19" s="9" t="s">
        <v>93</v>
      </c>
      <c r="J19" s="8"/>
      <c r="K19" s="8"/>
      <c r="L19" s="9" t="s">
        <v>234</v>
      </c>
      <c r="M19" s="9" t="s">
        <v>235</v>
      </c>
      <c r="N19" s="9" t="s">
        <v>236</v>
      </c>
      <c r="O19" s="9" t="s">
        <v>63</v>
      </c>
      <c r="P19" s="21" t="s">
        <v>237</v>
      </c>
      <c r="Q19" s="8"/>
      <c r="R19" s="10" t="s">
        <v>57</v>
      </c>
      <c r="S19" s="11">
        <v>3.0</v>
      </c>
      <c r="T19" s="9" t="s">
        <v>238</v>
      </c>
      <c r="U19" s="9" t="s">
        <v>239</v>
      </c>
      <c r="V19" s="13" t="s">
        <v>64</v>
      </c>
      <c r="W19" s="21" t="s">
        <v>240</v>
      </c>
      <c r="X19" s="21" t="s">
        <v>240</v>
      </c>
      <c r="Y19" s="26">
        <v>46101.0</v>
      </c>
      <c r="Z19" s="12"/>
      <c r="AA19" s="12"/>
      <c r="AB19" s="12"/>
      <c r="AC19" s="12"/>
      <c r="AD19" s="12"/>
      <c r="AE19" s="12"/>
      <c r="AF19" s="12"/>
      <c r="AG19" s="12"/>
      <c r="AH19" s="12"/>
      <c r="AI19" s="12"/>
      <c r="AJ19" s="10" t="s">
        <v>66</v>
      </c>
      <c r="AK19" s="9" t="s">
        <v>241</v>
      </c>
    </row>
    <row r="20" ht="23.25" customHeight="1">
      <c r="A20" s="8"/>
      <c r="B20" s="8"/>
      <c r="C20" s="21" t="s">
        <v>52</v>
      </c>
      <c r="D20" s="8"/>
      <c r="E20" s="8"/>
      <c r="F20" s="8"/>
      <c r="G20" s="9" t="s">
        <v>242</v>
      </c>
      <c r="H20" s="9" t="s">
        <v>72</v>
      </c>
      <c r="I20" s="9" t="s">
        <v>93</v>
      </c>
      <c r="J20" s="8"/>
      <c r="K20" s="8"/>
      <c r="L20" s="9" t="s">
        <v>243</v>
      </c>
      <c r="M20" s="9" t="s">
        <v>244</v>
      </c>
      <c r="N20" s="9" t="s">
        <v>245</v>
      </c>
      <c r="O20" s="9" t="s">
        <v>63</v>
      </c>
      <c r="P20" s="9" t="s">
        <v>246</v>
      </c>
      <c r="Q20" s="8"/>
      <c r="R20" s="10" t="s">
        <v>57</v>
      </c>
      <c r="S20" s="23">
        <v>4.0</v>
      </c>
      <c r="T20" s="9" t="s">
        <v>247</v>
      </c>
      <c r="U20" s="9" t="s">
        <v>248</v>
      </c>
      <c r="V20" s="13" t="s">
        <v>64</v>
      </c>
      <c r="W20" s="21" t="s">
        <v>249</v>
      </c>
      <c r="X20" s="28" t="s">
        <v>250</v>
      </c>
      <c r="Y20" s="26">
        <v>46101.0</v>
      </c>
      <c r="Z20" s="12"/>
      <c r="AA20" s="12"/>
      <c r="AB20" s="12"/>
      <c r="AC20" s="12"/>
      <c r="AD20" s="12"/>
      <c r="AE20" s="12"/>
      <c r="AF20" s="12"/>
      <c r="AG20" s="12"/>
      <c r="AH20" s="12"/>
      <c r="AI20" s="12"/>
      <c r="AJ20" s="10" t="s">
        <v>66</v>
      </c>
      <c r="AK20" s="9" t="s">
        <v>251</v>
      </c>
    </row>
    <row r="21" ht="23.25" customHeight="1">
      <c r="A21" s="8"/>
      <c r="B21" s="8"/>
      <c r="C21" s="9" t="s">
        <v>87</v>
      </c>
      <c r="D21" s="8"/>
      <c r="E21" s="8"/>
      <c r="F21" s="8"/>
      <c r="G21" s="9" t="s">
        <v>252</v>
      </c>
      <c r="H21" s="9" t="s">
        <v>57</v>
      </c>
      <c r="I21" s="9" t="s">
        <v>93</v>
      </c>
      <c r="J21" s="8"/>
      <c r="K21" s="8"/>
      <c r="L21" s="9" t="s">
        <v>253</v>
      </c>
      <c r="M21" s="9" t="s">
        <v>254</v>
      </c>
      <c r="N21" s="9" t="s">
        <v>255</v>
      </c>
      <c r="O21" s="9" t="s">
        <v>63</v>
      </c>
      <c r="P21" s="9" t="s">
        <v>256</v>
      </c>
      <c r="Q21" s="8"/>
      <c r="R21" s="10" t="s">
        <v>57</v>
      </c>
      <c r="S21" s="23">
        <v>4.0</v>
      </c>
      <c r="T21" s="9" t="s">
        <v>257</v>
      </c>
      <c r="U21" s="9" t="s">
        <v>258</v>
      </c>
      <c r="V21" s="13" t="s">
        <v>127</v>
      </c>
      <c r="W21" s="9" t="s">
        <v>259</v>
      </c>
      <c r="X21" s="12"/>
      <c r="Y21" s="12"/>
      <c r="Z21" s="12"/>
      <c r="AA21" s="12"/>
      <c r="AB21" s="12"/>
      <c r="AC21" s="12"/>
      <c r="AD21" s="12"/>
      <c r="AE21" s="12"/>
      <c r="AF21" s="12"/>
      <c r="AG21" s="12"/>
      <c r="AH21" s="12"/>
      <c r="AI21" s="12"/>
      <c r="AJ21" s="10" t="s">
        <v>66</v>
      </c>
      <c r="AK21" s="9" t="s">
        <v>260</v>
      </c>
    </row>
    <row r="22" ht="23.25" customHeight="1">
      <c r="A22" s="8"/>
      <c r="B22" s="8"/>
      <c r="C22" s="21" t="s">
        <v>52</v>
      </c>
      <c r="D22" s="9" t="s">
        <v>261</v>
      </c>
      <c r="E22" s="9" t="s">
        <v>262</v>
      </c>
      <c r="F22" s="9" t="s">
        <v>263</v>
      </c>
      <c r="G22" s="9" t="s">
        <v>264</v>
      </c>
      <c r="H22" s="9" t="s">
        <v>72</v>
      </c>
      <c r="I22" s="9" t="s">
        <v>93</v>
      </c>
      <c r="J22" s="8"/>
      <c r="K22" s="8"/>
      <c r="L22" s="9" t="s">
        <v>265</v>
      </c>
      <c r="M22" s="9" t="s">
        <v>266</v>
      </c>
      <c r="N22" s="9" t="s">
        <v>267</v>
      </c>
      <c r="O22" s="9" t="s">
        <v>63</v>
      </c>
      <c r="P22" s="9" t="s">
        <v>268</v>
      </c>
      <c r="Q22" s="8"/>
      <c r="R22" s="10" t="s">
        <v>57</v>
      </c>
      <c r="S22" s="11">
        <v>3.0</v>
      </c>
      <c r="T22" s="9" t="s">
        <v>269</v>
      </c>
      <c r="U22" s="9" t="s">
        <v>270</v>
      </c>
      <c r="V22" s="13" t="s">
        <v>64</v>
      </c>
      <c r="W22" s="29" t="s">
        <v>271</v>
      </c>
      <c r="X22" s="29" t="s">
        <v>271</v>
      </c>
      <c r="Y22" s="26">
        <v>46101.0</v>
      </c>
      <c r="Z22" s="12"/>
      <c r="AA22" s="12"/>
      <c r="AB22" s="12"/>
      <c r="AC22" s="12"/>
      <c r="AD22" s="12"/>
      <c r="AE22" s="12"/>
      <c r="AF22" s="12"/>
      <c r="AG22" s="12"/>
      <c r="AH22" s="12"/>
      <c r="AI22" s="12"/>
      <c r="AJ22" s="10" t="s">
        <v>66</v>
      </c>
      <c r="AK22" s="9" t="s">
        <v>272</v>
      </c>
    </row>
    <row r="23" ht="23.25" customHeight="1">
      <c r="A23" s="8"/>
      <c r="B23" s="8"/>
      <c r="C23" s="9" t="s">
        <v>87</v>
      </c>
      <c r="D23" s="9" t="s">
        <v>273</v>
      </c>
      <c r="E23" s="9" t="s">
        <v>274</v>
      </c>
      <c r="F23" s="8"/>
      <c r="G23" s="9" t="s">
        <v>275</v>
      </c>
      <c r="H23" s="9" t="s">
        <v>57</v>
      </c>
      <c r="I23" s="9" t="s">
        <v>93</v>
      </c>
      <c r="J23" s="8"/>
      <c r="K23" s="8"/>
      <c r="L23" s="9" t="s">
        <v>276</v>
      </c>
      <c r="M23" s="9" t="s">
        <v>277</v>
      </c>
      <c r="N23" s="9" t="s">
        <v>278</v>
      </c>
      <c r="O23" s="9" t="s">
        <v>63</v>
      </c>
      <c r="P23" s="9" t="s">
        <v>279</v>
      </c>
      <c r="Q23" s="8"/>
      <c r="R23" s="10" t="s">
        <v>57</v>
      </c>
      <c r="S23" s="30">
        <v>2.0</v>
      </c>
      <c r="T23" s="9" t="s">
        <v>280</v>
      </c>
      <c r="U23" s="9" t="s">
        <v>281</v>
      </c>
      <c r="V23" s="13" t="s">
        <v>86</v>
      </c>
      <c r="W23" s="12"/>
      <c r="X23" s="12"/>
      <c r="Y23" s="12"/>
      <c r="Z23" s="12"/>
      <c r="AA23" s="12"/>
      <c r="AB23" s="12"/>
      <c r="AC23" s="12"/>
      <c r="AD23" s="12"/>
      <c r="AE23" s="12"/>
      <c r="AF23" s="12"/>
      <c r="AG23" s="12"/>
      <c r="AH23" s="12"/>
      <c r="AI23" s="12"/>
      <c r="AJ23" s="10" t="s">
        <v>66</v>
      </c>
      <c r="AK23" s="9" t="s">
        <v>282</v>
      </c>
    </row>
    <row r="24" ht="23.25" customHeight="1">
      <c r="A24" s="8"/>
      <c r="B24" s="8"/>
      <c r="C24" s="9" t="s">
        <v>87</v>
      </c>
      <c r="D24" s="9" t="s">
        <v>145</v>
      </c>
      <c r="E24" s="9" t="s">
        <v>283</v>
      </c>
      <c r="F24" s="9" t="s">
        <v>164</v>
      </c>
      <c r="G24" s="9" t="s">
        <v>284</v>
      </c>
      <c r="H24" s="9" t="s">
        <v>57</v>
      </c>
      <c r="I24" s="9" t="s">
        <v>93</v>
      </c>
      <c r="J24" s="8"/>
      <c r="K24" s="8"/>
      <c r="L24" s="9" t="s">
        <v>285</v>
      </c>
      <c r="M24" s="9" t="s">
        <v>286</v>
      </c>
      <c r="N24" s="9" t="s">
        <v>287</v>
      </c>
      <c r="O24" s="9" t="s">
        <v>63</v>
      </c>
      <c r="P24" s="9" t="s">
        <v>288</v>
      </c>
      <c r="Q24" s="8"/>
      <c r="R24" s="10" t="s">
        <v>57</v>
      </c>
      <c r="S24" s="31">
        <v>3.0</v>
      </c>
      <c r="T24" s="9" t="s">
        <v>289</v>
      </c>
      <c r="U24" s="12"/>
      <c r="V24" s="13" t="s">
        <v>290</v>
      </c>
      <c r="W24" s="21" t="s">
        <v>291</v>
      </c>
      <c r="X24" s="32" t="s">
        <v>292</v>
      </c>
      <c r="Y24" s="12"/>
      <c r="Z24" s="12"/>
      <c r="AA24" s="12"/>
      <c r="AB24" s="12"/>
      <c r="AC24" s="12"/>
      <c r="AD24" s="12"/>
      <c r="AE24" s="12"/>
      <c r="AF24" s="12"/>
      <c r="AG24" s="12"/>
      <c r="AH24" s="12"/>
      <c r="AI24" s="12"/>
      <c r="AJ24" s="10" t="s">
        <v>66</v>
      </c>
      <c r="AK24" s="9" t="s">
        <v>293</v>
      </c>
    </row>
    <row r="25" ht="46.5" customHeight="1">
      <c r="A25" s="8"/>
      <c r="B25" s="33"/>
      <c r="C25" s="34"/>
      <c r="D25" s="9" t="s">
        <v>294</v>
      </c>
      <c r="E25" s="21" t="s">
        <v>295</v>
      </c>
      <c r="F25" s="35" t="s">
        <v>164</v>
      </c>
      <c r="G25" s="21" t="s">
        <v>296</v>
      </c>
      <c r="H25" s="9" t="s">
        <v>57</v>
      </c>
      <c r="I25" s="9" t="s">
        <v>93</v>
      </c>
      <c r="J25" s="36"/>
      <c r="K25" s="34"/>
      <c r="L25" s="9" t="s">
        <v>297</v>
      </c>
      <c r="M25" s="36"/>
      <c r="N25" s="34"/>
      <c r="O25" s="9" t="s">
        <v>298</v>
      </c>
      <c r="P25" s="9" t="s">
        <v>299</v>
      </c>
      <c r="Q25" s="37"/>
      <c r="R25" s="9" t="s">
        <v>57</v>
      </c>
      <c r="S25" s="38">
        <v>4.0</v>
      </c>
      <c r="T25" s="21" t="s">
        <v>300</v>
      </c>
      <c r="U25" s="37"/>
      <c r="V25" s="13" t="s">
        <v>301</v>
      </c>
      <c r="W25" s="39" t="s">
        <v>302</v>
      </c>
      <c r="X25" s="33"/>
      <c r="Y25" s="33"/>
      <c r="Z25" s="33"/>
      <c r="AA25" s="33"/>
      <c r="AB25" s="33"/>
      <c r="AC25" s="33"/>
      <c r="AD25" s="34"/>
      <c r="AE25" s="9" t="s">
        <v>52</v>
      </c>
      <c r="AF25" s="9" t="s">
        <v>303</v>
      </c>
      <c r="AG25" s="36"/>
      <c r="AH25" s="33"/>
      <c r="AI25" s="40" t="s">
        <v>304</v>
      </c>
      <c r="AJ25" s="34"/>
      <c r="AK25" s="21" t="s">
        <v>305</v>
      </c>
    </row>
    <row r="26" ht="63.75" customHeight="1">
      <c r="A26" s="8"/>
      <c r="B26" s="41"/>
      <c r="C26" s="42" t="s">
        <v>306</v>
      </c>
      <c r="D26" s="40" t="s">
        <v>307</v>
      </c>
      <c r="E26" s="42" t="s">
        <v>308</v>
      </c>
      <c r="F26" s="43" t="s">
        <v>164</v>
      </c>
      <c r="G26" s="9" t="s">
        <v>309</v>
      </c>
      <c r="H26" s="9" t="s">
        <v>57</v>
      </c>
      <c r="I26" s="9" t="s">
        <v>93</v>
      </c>
      <c r="J26" s="44" t="s">
        <v>310</v>
      </c>
      <c r="K26" s="45" t="s">
        <v>311</v>
      </c>
      <c r="L26" s="9" t="s">
        <v>312</v>
      </c>
      <c r="M26" s="46"/>
      <c r="N26" s="47"/>
      <c r="O26" s="9" t="s">
        <v>298</v>
      </c>
      <c r="P26" s="9" t="s">
        <v>313</v>
      </c>
      <c r="Q26" s="48"/>
      <c r="R26" s="9" t="s">
        <v>57</v>
      </c>
      <c r="S26" s="49">
        <v>4.0</v>
      </c>
      <c r="T26" s="9" t="s">
        <v>314</v>
      </c>
      <c r="U26" s="48"/>
      <c r="V26" s="13" t="s">
        <v>107</v>
      </c>
      <c r="W26" s="9" t="s">
        <v>315</v>
      </c>
      <c r="X26" s="46"/>
      <c r="Y26" s="41"/>
      <c r="Z26" s="41"/>
      <c r="AA26" s="41"/>
      <c r="AB26" s="41"/>
      <c r="AC26" s="41"/>
      <c r="AD26" s="47"/>
      <c r="AE26" s="9" t="s">
        <v>52</v>
      </c>
      <c r="AF26" s="9" t="s">
        <v>303</v>
      </c>
      <c r="AG26" s="46"/>
      <c r="AH26" s="41"/>
      <c r="AI26" s="41"/>
      <c r="AJ26" s="47"/>
      <c r="AK26" s="9" t="s">
        <v>316</v>
      </c>
    </row>
    <row r="27" ht="84.75" customHeight="1">
      <c r="A27" s="8"/>
      <c r="B27" s="41"/>
      <c r="C27" s="41"/>
      <c r="D27" s="41"/>
      <c r="E27" s="41"/>
      <c r="F27" s="47"/>
      <c r="G27" s="9" t="s">
        <v>317</v>
      </c>
      <c r="H27" s="9" t="s">
        <v>57</v>
      </c>
      <c r="I27" s="9" t="s">
        <v>93</v>
      </c>
      <c r="J27" s="46"/>
      <c r="K27" s="47"/>
      <c r="L27" s="9" t="s">
        <v>318</v>
      </c>
      <c r="M27" s="46"/>
      <c r="N27" s="47"/>
      <c r="O27" s="9" t="s">
        <v>298</v>
      </c>
      <c r="P27" s="9" t="s">
        <v>256</v>
      </c>
      <c r="Q27" s="48"/>
      <c r="R27" s="9" t="s">
        <v>57</v>
      </c>
      <c r="S27" s="31">
        <v>3.0</v>
      </c>
      <c r="T27" s="9" t="s">
        <v>319</v>
      </c>
      <c r="U27" s="50" t="s">
        <v>320</v>
      </c>
      <c r="V27" s="13" t="s">
        <v>290</v>
      </c>
      <c r="W27" s="9"/>
      <c r="X27" s="46"/>
      <c r="Y27" s="41"/>
      <c r="Z27" s="41"/>
      <c r="AA27" s="41"/>
      <c r="AB27" s="41"/>
      <c r="AC27" s="41"/>
      <c r="AD27" s="41"/>
      <c r="AE27" s="33"/>
      <c r="AF27" s="33"/>
      <c r="AG27" s="41"/>
      <c r="AH27" s="41"/>
      <c r="AI27" s="41"/>
      <c r="AJ27" s="47"/>
      <c r="AK27" s="9" t="s">
        <v>321</v>
      </c>
    </row>
    <row r="28" ht="35.25" customHeight="1">
      <c r="A28" s="8"/>
      <c r="B28" s="41"/>
      <c r="C28" s="41"/>
      <c r="D28" s="41"/>
      <c r="E28" s="41"/>
      <c r="F28" s="47"/>
      <c r="G28" s="9" t="s">
        <v>322</v>
      </c>
      <c r="H28" s="9" t="s">
        <v>57</v>
      </c>
      <c r="I28" s="9" t="s">
        <v>93</v>
      </c>
      <c r="J28" s="46"/>
      <c r="K28" s="47"/>
      <c r="L28" s="9" t="s">
        <v>323</v>
      </c>
      <c r="M28" s="46"/>
      <c r="N28" s="47"/>
      <c r="O28" s="9" t="s">
        <v>298</v>
      </c>
      <c r="P28" s="9" t="s">
        <v>324</v>
      </c>
      <c r="Q28" s="48"/>
      <c r="R28" s="9" t="s">
        <v>57</v>
      </c>
      <c r="S28" s="30">
        <v>2.0</v>
      </c>
      <c r="T28" s="9" t="s">
        <v>325</v>
      </c>
      <c r="U28" s="48"/>
      <c r="V28" s="13" t="s">
        <v>86</v>
      </c>
      <c r="W28" s="51"/>
      <c r="X28" s="41"/>
      <c r="Y28" s="41"/>
      <c r="Z28" s="41"/>
      <c r="AA28" s="41"/>
      <c r="AB28" s="41"/>
      <c r="AC28" s="41"/>
      <c r="AD28" s="41"/>
      <c r="AE28" s="41"/>
      <c r="AF28" s="41"/>
      <c r="AG28" s="41"/>
      <c r="AH28" s="41"/>
      <c r="AI28" s="41"/>
      <c r="AJ28" s="47"/>
      <c r="AK28" s="9" t="s">
        <v>326</v>
      </c>
    </row>
    <row r="29" ht="112.5" customHeight="1">
      <c r="A29" s="8"/>
      <c r="B29" s="41"/>
      <c r="C29" s="42" t="s">
        <v>52</v>
      </c>
      <c r="D29" s="41"/>
      <c r="E29" s="41"/>
      <c r="F29" s="47"/>
      <c r="G29" s="9" t="s">
        <v>327</v>
      </c>
      <c r="H29" s="9" t="s">
        <v>57</v>
      </c>
      <c r="I29" s="9" t="s">
        <v>93</v>
      </c>
      <c r="J29" s="46"/>
      <c r="K29" s="47"/>
      <c r="L29" s="9" t="s">
        <v>328</v>
      </c>
      <c r="M29" s="46"/>
      <c r="N29" s="47"/>
      <c r="O29" s="9" t="s">
        <v>298</v>
      </c>
      <c r="P29" s="9" t="s">
        <v>256</v>
      </c>
      <c r="Q29" s="48"/>
      <c r="R29" s="9" t="s">
        <v>57</v>
      </c>
      <c r="S29" s="49">
        <v>4.0</v>
      </c>
      <c r="T29" s="9" t="s">
        <v>329</v>
      </c>
      <c r="U29" s="48"/>
      <c r="V29" s="13" t="s">
        <v>64</v>
      </c>
      <c r="W29" s="21" t="s">
        <v>330</v>
      </c>
      <c r="X29" s="21" t="s">
        <v>330</v>
      </c>
      <c r="Y29" s="26">
        <v>46101.0</v>
      </c>
      <c r="Z29" s="41"/>
      <c r="AA29" s="41"/>
      <c r="AB29" s="41"/>
      <c r="AC29" s="41"/>
      <c r="AD29" s="41"/>
      <c r="AE29" s="41"/>
      <c r="AF29" s="41"/>
      <c r="AG29" s="41"/>
      <c r="AH29" s="41"/>
      <c r="AI29" s="41"/>
      <c r="AJ29" s="47"/>
      <c r="AK29" s="9" t="s">
        <v>331</v>
      </c>
    </row>
    <row r="30" ht="24.0" customHeight="1">
      <c r="A30" s="8"/>
      <c r="B30" s="41"/>
      <c r="C30" s="41"/>
      <c r="D30" s="41"/>
      <c r="E30" s="41"/>
      <c r="F30" s="47"/>
      <c r="G30" s="9" t="s">
        <v>332</v>
      </c>
      <c r="H30" s="9" t="s">
        <v>57</v>
      </c>
      <c r="I30" s="9" t="s">
        <v>93</v>
      </c>
      <c r="J30" s="46"/>
      <c r="K30" s="47"/>
      <c r="L30" s="9" t="s">
        <v>333</v>
      </c>
      <c r="M30" s="46"/>
      <c r="N30" s="47"/>
      <c r="O30" s="9" t="s">
        <v>298</v>
      </c>
      <c r="P30" s="9" t="s">
        <v>334</v>
      </c>
      <c r="Q30" s="48"/>
      <c r="R30" s="9" t="s">
        <v>57</v>
      </c>
      <c r="S30" s="52">
        <v>1.0</v>
      </c>
      <c r="T30" s="9" t="s">
        <v>335</v>
      </c>
      <c r="U30" s="48"/>
      <c r="V30" s="13" t="s">
        <v>86</v>
      </c>
      <c r="W30" s="36"/>
      <c r="X30" s="41"/>
      <c r="Y30" s="41"/>
      <c r="Z30" s="41"/>
      <c r="AA30" s="41"/>
      <c r="AB30" s="41"/>
      <c r="AC30" s="41"/>
      <c r="AD30" s="41"/>
      <c r="AE30" s="41"/>
      <c r="AF30" s="41"/>
      <c r="AG30" s="41"/>
      <c r="AH30" s="41"/>
      <c r="AI30" s="41"/>
      <c r="AJ30" s="47"/>
      <c r="AK30" s="9" t="s">
        <v>326</v>
      </c>
    </row>
    <row r="31" ht="24.0" customHeight="1">
      <c r="A31" s="8"/>
      <c r="B31" s="41"/>
      <c r="C31" s="41"/>
      <c r="D31" s="53"/>
      <c r="E31" s="41"/>
      <c r="F31" s="47"/>
      <c r="G31" s="9" t="s">
        <v>336</v>
      </c>
      <c r="H31" s="9" t="s">
        <v>57</v>
      </c>
      <c r="I31" s="9" t="s">
        <v>93</v>
      </c>
      <c r="J31" s="46"/>
      <c r="K31" s="54"/>
      <c r="L31" s="9" t="s">
        <v>337</v>
      </c>
      <c r="M31" s="46"/>
      <c r="N31" s="47"/>
      <c r="O31" s="9" t="s">
        <v>298</v>
      </c>
      <c r="P31" s="9" t="s">
        <v>334</v>
      </c>
      <c r="Q31" s="48"/>
      <c r="R31" s="9" t="s">
        <v>57</v>
      </c>
      <c r="S31" s="52">
        <v>1.0</v>
      </c>
      <c r="T31" s="9" t="s">
        <v>338</v>
      </c>
      <c r="U31" s="48"/>
      <c r="V31" s="13" t="s">
        <v>86</v>
      </c>
      <c r="W31" s="46"/>
      <c r="X31" s="41"/>
      <c r="Y31" s="41"/>
      <c r="Z31" s="41"/>
      <c r="AA31" s="41"/>
      <c r="AB31" s="41"/>
      <c r="AC31" s="41"/>
      <c r="AD31" s="41"/>
      <c r="AE31" s="41"/>
      <c r="AF31" s="41"/>
      <c r="AG31" s="41"/>
      <c r="AH31" s="41"/>
      <c r="AI31" s="41"/>
      <c r="AJ31" s="47"/>
      <c r="AK31" s="9" t="s">
        <v>339</v>
      </c>
    </row>
    <row r="32" ht="35.25" customHeight="1">
      <c r="A32" s="8"/>
      <c r="B32" s="41"/>
      <c r="C32" s="47"/>
      <c r="D32" s="9" t="s">
        <v>340</v>
      </c>
      <c r="E32" s="46"/>
      <c r="F32" s="47"/>
      <c r="G32" s="9" t="s">
        <v>341</v>
      </c>
      <c r="H32" s="9" t="s">
        <v>57</v>
      </c>
      <c r="I32" s="9" t="s">
        <v>93</v>
      </c>
      <c r="J32" s="48"/>
      <c r="K32" s="9" t="s">
        <v>342</v>
      </c>
      <c r="L32" s="9" t="s">
        <v>176</v>
      </c>
      <c r="M32" s="46"/>
      <c r="N32" s="47"/>
      <c r="O32" s="9" t="s">
        <v>298</v>
      </c>
      <c r="P32" s="51"/>
      <c r="Q32" s="47"/>
      <c r="R32" s="9" t="s">
        <v>57</v>
      </c>
      <c r="S32" s="30">
        <v>2.0</v>
      </c>
      <c r="T32" s="51"/>
      <c r="U32" s="47"/>
      <c r="V32" s="13" t="s">
        <v>86</v>
      </c>
      <c r="W32" s="55"/>
      <c r="X32" s="41"/>
      <c r="Y32" s="41"/>
      <c r="Z32" s="41"/>
      <c r="AA32" s="41"/>
      <c r="AB32" s="41"/>
      <c r="AC32" s="41"/>
      <c r="AD32" s="41"/>
      <c r="AE32" s="41"/>
      <c r="AF32" s="41"/>
      <c r="AG32" s="41"/>
      <c r="AH32" s="41"/>
      <c r="AI32" s="41"/>
      <c r="AJ32" s="47"/>
      <c r="AK32" s="9" t="s">
        <v>343</v>
      </c>
    </row>
    <row r="33" ht="156.0" customHeight="1">
      <c r="A33" s="8"/>
      <c r="B33" s="41"/>
      <c r="C33" s="53"/>
      <c r="D33" s="33"/>
      <c r="E33" s="41"/>
      <c r="F33" s="47"/>
      <c r="G33" s="9" t="s">
        <v>344</v>
      </c>
      <c r="H33" s="9" t="s">
        <v>57</v>
      </c>
      <c r="I33" s="9" t="s">
        <v>93</v>
      </c>
      <c r="J33" s="46"/>
      <c r="K33" s="34"/>
      <c r="L33" s="9" t="s">
        <v>345</v>
      </c>
      <c r="M33" s="46"/>
      <c r="N33" s="47"/>
      <c r="O33" s="9" t="s">
        <v>298</v>
      </c>
      <c r="P33" s="9" t="s">
        <v>256</v>
      </c>
      <c r="Q33" s="48"/>
      <c r="R33" s="9" t="s">
        <v>57</v>
      </c>
      <c r="S33" s="49">
        <v>4.0</v>
      </c>
      <c r="T33" s="9" t="s">
        <v>346</v>
      </c>
      <c r="U33" s="48"/>
      <c r="V33" s="13" t="s">
        <v>290</v>
      </c>
      <c r="W33" s="9" t="s">
        <v>347</v>
      </c>
      <c r="X33" s="56" t="s">
        <v>348</v>
      </c>
      <c r="Y33" s="41"/>
      <c r="Z33" s="41"/>
      <c r="AA33" s="41"/>
      <c r="AB33" s="41"/>
      <c r="AC33" s="41"/>
      <c r="AD33" s="41"/>
      <c r="AE33" s="41"/>
      <c r="AF33" s="41"/>
      <c r="AG33" s="41"/>
      <c r="AH33" s="41"/>
      <c r="AI33" s="41"/>
      <c r="AJ33" s="47"/>
      <c r="AK33" s="9" t="s">
        <v>331</v>
      </c>
    </row>
    <row r="34" ht="46.5" customHeight="1">
      <c r="A34" s="8"/>
      <c r="B34" s="47"/>
      <c r="C34" s="9" t="s">
        <v>52</v>
      </c>
      <c r="D34" s="46"/>
      <c r="E34" s="41"/>
      <c r="F34" s="47"/>
      <c r="G34" s="9" t="s">
        <v>349</v>
      </c>
      <c r="H34" s="9" t="s">
        <v>57</v>
      </c>
      <c r="I34" s="9" t="s">
        <v>93</v>
      </c>
      <c r="J34" s="46"/>
      <c r="K34" s="47"/>
      <c r="L34" s="9" t="s">
        <v>350</v>
      </c>
      <c r="M34" s="46"/>
      <c r="N34" s="47"/>
      <c r="O34" s="9" t="s">
        <v>298</v>
      </c>
      <c r="P34" s="9" t="s">
        <v>299</v>
      </c>
      <c r="Q34" s="48"/>
      <c r="R34" s="9" t="s">
        <v>57</v>
      </c>
      <c r="S34" s="31">
        <v>3.0</v>
      </c>
      <c r="T34" s="9" t="s">
        <v>351</v>
      </c>
      <c r="U34" s="48"/>
      <c r="V34" s="13" t="s">
        <v>290</v>
      </c>
      <c r="W34" s="51"/>
      <c r="X34" s="41"/>
      <c r="Y34" s="41"/>
      <c r="Z34" s="41"/>
      <c r="AA34" s="41"/>
      <c r="AB34" s="41"/>
      <c r="AC34" s="41"/>
      <c r="AD34" s="41"/>
      <c r="AE34" s="41"/>
      <c r="AF34" s="41"/>
      <c r="AG34" s="41"/>
      <c r="AH34" s="41"/>
      <c r="AI34" s="41"/>
      <c r="AJ34" s="47"/>
      <c r="AK34" s="9" t="s">
        <v>352</v>
      </c>
    </row>
    <row r="35" ht="123.0" customHeight="1">
      <c r="A35" s="8"/>
      <c r="B35" s="41"/>
      <c r="C35" s="40" t="s">
        <v>52</v>
      </c>
      <c r="D35" s="41"/>
      <c r="E35" s="41"/>
      <c r="F35" s="47"/>
      <c r="G35" s="9" t="s">
        <v>353</v>
      </c>
      <c r="H35" s="9" t="s">
        <v>57</v>
      </c>
      <c r="I35" s="9" t="s">
        <v>93</v>
      </c>
      <c r="J35" s="46"/>
      <c r="K35" s="47"/>
      <c r="L35" s="9" t="s">
        <v>354</v>
      </c>
      <c r="M35" s="46"/>
      <c r="N35" s="47"/>
      <c r="O35" s="9" t="s">
        <v>298</v>
      </c>
      <c r="P35" s="9" t="s">
        <v>268</v>
      </c>
      <c r="Q35" s="48"/>
      <c r="R35" s="9" t="s">
        <v>57</v>
      </c>
      <c r="S35" s="31">
        <v>3.0</v>
      </c>
      <c r="T35" s="9" t="s">
        <v>355</v>
      </c>
      <c r="U35" s="48"/>
      <c r="V35" s="13" t="s">
        <v>64</v>
      </c>
      <c r="W35" s="9" t="s">
        <v>356</v>
      </c>
      <c r="X35" s="57" t="s">
        <v>357</v>
      </c>
      <c r="Y35" s="58">
        <v>46101.0</v>
      </c>
      <c r="Z35" s="41"/>
      <c r="AA35" s="41"/>
      <c r="AB35" s="41"/>
      <c r="AC35" s="41"/>
      <c r="AD35" s="41"/>
      <c r="AE35" s="41"/>
      <c r="AF35" s="41"/>
      <c r="AG35" s="41"/>
      <c r="AH35" s="41"/>
      <c r="AI35" s="41"/>
      <c r="AJ35" s="47"/>
      <c r="AK35" s="9" t="s">
        <v>358</v>
      </c>
    </row>
    <row r="36" ht="24.0" customHeight="1">
      <c r="A36" s="8"/>
      <c r="B36" s="41"/>
      <c r="C36" s="41"/>
      <c r="D36" s="41"/>
      <c r="E36" s="41"/>
      <c r="F36" s="47"/>
      <c r="G36" s="9" t="s">
        <v>359</v>
      </c>
      <c r="H36" s="9" t="s">
        <v>57</v>
      </c>
      <c r="I36" s="9" t="s">
        <v>93</v>
      </c>
      <c r="J36" s="46"/>
      <c r="K36" s="47"/>
      <c r="L36" s="9" t="s">
        <v>360</v>
      </c>
      <c r="M36" s="46"/>
      <c r="N36" s="47"/>
      <c r="O36" s="9" t="s">
        <v>298</v>
      </c>
      <c r="P36" s="9" t="s">
        <v>279</v>
      </c>
      <c r="Q36" s="48"/>
      <c r="R36" s="9" t="s">
        <v>57</v>
      </c>
      <c r="S36" s="30">
        <v>2.0</v>
      </c>
      <c r="T36" s="9" t="s">
        <v>361</v>
      </c>
      <c r="U36" s="48"/>
      <c r="V36" s="13" t="s">
        <v>86</v>
      </c>
      <c r="W36" s="51"/>
      <c r="X36" s="41"/>
      <c r="Y36" s="41"/>
      <c r="Z36" s="41"/>
      <c r="AA36" s="41"/>
      <c r="AB36" s="41"/>
      <c r="AC36" s="41"/>
      <c r="AD36" s="41"/>
      <c r="AE36" s="41"/>
      <c r="AF36" s="41"/>
      <c r="AG36" s="41"/>
      <c r="AH36" s="41"/>
      <c r="AI36" s="41"/>
      <c r="AJ36" s="47"/>
      <c r="AK36" s="9" t="s">
        <v>326</v>
      </c>
    </row>
    <row r="37" ht="145.5" customHeight="1">
      <c r="A37" s="8"/>
      <c r="B37" s="42" t="s">
        <v>362</v>
      </c>
      <c r="C37" s="41"/>
      <c r="D37" s="41"/>
      <c r="E37" s="41"/>
      <c r="F37" s="47"/>
      <c r="G37" s="9" t="s">
        <v>363</v>
      </c>
      <c r="H37" s="9" t="s">
        <v>57</v>
      </c>
      <c r="I37" s="9" t="s">
        <v>93</v>
      </c>
      <c r="J37" s="46"/>
      <c r="K37" s="47"/>
      <c r="L37" s="9" t="s">
        <v>364</v>
      </c>
      <c r="M37" s="46"/>
      <c r="N37" s="47"/>
      <c r="O37" s="9" t="s">
        <v>298</v>
      </c>
      <c r="P37" s="9" t="s">
        <v>214</v>
      </c>
      <c r="Q37" s="48"/>
      <c r="R37" s="9" t="s">
        <v>57</v>
      </c>
      <c r="S37" s="49">
        <v>4.0</v>
      </c>
      <c r="T37" s="9" t="s">
        <v>365</v>
      </c>
      <c r="U37" s="48"/>
      <c r="V37" s="13" t="s">
        <v>290</v>
      </c>
      <c r="W37" s="21" t="s">
        <v>366</v>
      </c>
      <c r="X37" s="46"/>
      <c r="Y37" s="41"/>
      <c r="Z37" s="41"/>
      <c r="AA37" s="41"/>
      <c r="AB37" s="41"/>
      <c r="AC37" s="41"/>
      <c r="AD37" s="41"/>
      <c r="AE37" s="41"/>
      <c r="AF37" s="41"/>
      <c r="AG37" s="41"/>
      <c r="AH37" s="41"/>
      <c r="AI37" s="41"/>
      <c r="AJ37" s="47"/>
      <c r="AK37" s="9" t="s">
        <v>367</v>
      </c>
    </row>
    <row r="38" ht="134.25" customHeight="1">
      <c r="A38" s="8"/>
      <c r="B38" s="41"/>
      <c r="C38" s="42" t="s">
        <v>52</v>
      </c>
      <c r="D38" s="41"/>
      <c r="E38" s="41"/>
      <c r="F38" s="47"/>
      <c r="G38" s="9" t="s">
        <v>368</v>
      </c>
      <c r="H38" s="9" t="s">
        <v>57</v>
      </c>
      <c r="I38" s="9" t="s">
        <v>93</v>
      </c>
      <c r="J38" s="46"/>
      <c r="K38" s="47"/>
      <c r="L38" s="9" t="s">
        <v>369</v>
      </c>
      <c r="M38" s="46"/>
      <c r="N38" s="47"/>
      <c r="O38" s="9" t="s">
        <v>298</v>
      </c>
      <c r="P38" s="9" t="s">
        <v>370</v>
      </c>
      <c r="Q38" s="48"/>
      <c r="R38" s="9" t="s">
        <v>57</v>
      </c>
      <c r="S38" s="31">
        <v>3.0</v>
      </c>
      <c r="T38" s="9" t="s">
        <v>371</v>
      </c>
      <c r="U38" s="48"/>
      <c r="V38" s="13" t="s">
        <v>64</v>
      </c>
      <c r="W38" s="9" t="s">
        <v>372</v>
      </c>
      <c r="X38" s="59" t="s">
        <v>373</v>
      </c>
      <c r="Y38" s="58">
        <v>46101.0</v>
      </c>
      <c r="Z38" s="41"/>
      <c r="AA38" s="41"/>
      <c r="AB38" s="41"/>
      <c r="AC38" s="41"/>
      <c r="AD38" s="41"/>
      <c r="AE38" s="41"/>
      <c r="AF38" s="41"/>
      <c r="AG38" s="41"/>
      <c r="AH38" s="41"/>
      <c r="AI38" s="41"/>
      <c r="AJ38" s="47"/>
      <c r="AK38" s="9" t="s">
        <v>358</v>
      </c>
    </row>
    <row r="39" ht="134.25" customHeight="1">
      <c r="A39" s="8"/>
      <c r="B39" s="41"/>
      <c r="C39" s="42" t="s">
        <v>52</v>
      </c>
      <c r="D39" s="41"/>
      <c r="E39" s="41"/>
      <c r="F39" s="47"/>
      <c r="G39" s="9" t="s">
        <v>374</v>
      </c>
      <c r="H39" s="9" t="s">
        <v>57</v>
      </c>
      <c r="I39" s="9" t="s">
        <v>93</v>
      </c>
      <c r="J39" s="46"/>
      <c r="K39" s="47"/>
      <c r="L39" s="9" t="s">
        <v>375</v>
      </c>
      <c r="M39" s="46"/>
      <c r="N39" s="47"/>
      <c r="O39" s="9" t="s">
        <v>298</v>
      </c>
      <c r="P39" s="9" t="s">
        <v>313</v>
      </c>
      <c r="Q39" s="48"/>
      <c r="R39" s="9" t="s">
        <v>57</v>
      </c>
      <c r="S39" s="49">
        <v>4.0</v>
      </c>
      <c r="T39" s="9" t="s">
        <v>376</v>
      </c>
      <c r="U39" s="48"/>
      <c r="V39" s="13" t="s">
        <v>64</v>
      </c>
      <c r="W39" s="9" t="s">
        <v>377</v>
      </c>
      <c r="X39" s="9" t="s">
        <v>377</v>
      </c>
      <c r="Y39" s="58">
        <v>46101.0</v>
      </c>
      <c r="Z39" s="41"/>
      <c r="AA39" s="41"/>
      <c r="AB39" s="41"/>
      <c r="AC39" s="41"/>
      <c r="AD39" s="41"/>
      <c r="AE39" s="41"/>
      <c r="AF39" s="41"/>
      <c r="AG39" s="41"/>
      <c r="AH39" s="41"/>
      <c r="AI39" s="41"/>
      <c r="AJ39" s="47"/>
      <c r="AK39" s="9" t="s">
        <v>358</v>
      </c>
    </row>
    <row r="40" ht="13.5" customHeight="1">
      <c r="A40" s="8"/>
      <c r="B40" s="41"/>
      <c r="C40" s="41"/>
      <c r="D40" s="41"/>
      <c r="E40" s="41"/>
      <c r="F40" s="41"/>
      <c r="G40" s="33"/>
      <c r="H40" s="33"/>
      <c r="I40" s="33"/>
      <c r="J40" s="41"/>
      <c r="K40" s="41"/>
      <c r="L40" s="33"/>
      <c r="M40" s="41"/>
      <c r="N40" s="41"/>
      <c r="O40" s="33"/>
      <c r="P40" s="33"/>
      <c r="Q40" s="41"/>
      <c r="R40" s="33"/>
      <c r="S40" s="33"/>
      <c r="T40" s="33"/>
      <c r="U40" s="41"/>
      <c r="V40" s="13"/>
      <c r="W40" s="33"/>
      <c r="X40" s="41"/>
      <c r="Y40" s="41"/>
      <c r="Z40" s="41"/>
      <c r="AA40" s="41"/>
      <c r="AB40" s="41"/>
      <c r="AC40" s="41"/>
      <c r="AD40" s="41"/>
      <c r="AE40" s="41"/>
      <c r="AF40" s="41"/>
      <c r="AG40" s="41"/>
      <c r="AH40" s="41"/>
      <c r="AI40" s="41"/>
      <c r="AJ40" s="41"/>
      <c r="AK40" s="33"/>
    </row>
    <row r="41" ht="13.5" customHeight="1">
      <c r="A41" s="8"/>
      <c r="B41" s="41"/>
      <c r="C41" s="41"/>
      <c r="D41" s="41"/>
      <c r="E41" s="41"/>
      <c r="F41" s="41"/>
      <c r="G41" s="41"/>
      <c r="H41" s="41"/>
      <c r="I41" s="41"/>
      <c r="J41" s="41"/>
      <c r="K41" s="41"/>
      <c r="L41" s="41"/>
      <c r="M41" s="41"/>
      <c r="N41" s="41"/>
      <c r="O41" s="41"/>
      <c r="P41" s="41"/>
      <c r="Q41" s="41"/>
      <c r="R41" s="41"/>
      <c r="S41" s="41"/>
      <c r="T41" s="41"/>
      <c r="U41" s="41"/>
      <c r="V41" s="13"/>
      <c r="W41" s="41"/>
      <c r="X41" s="41"/>
      <c r="Y41" s="41"/>
      <c r="Z41" s="41"/>
      <c r="AA41" s="41"/>
      <c r="AB41" s="41"/>
      <c r="AC41" s="41"/>
      <c r="AD41" s="41"/>
      <c r="AE41" s="41"/>
      <c r="AF41" s="41"/>
      <c r="AG41" s="41"/>
      <c r="AH41" s="41"/>
      <c r="AI41" s="41"/>
      <c r="AJ41" s="41"/>
      <c r="AK41" s="41"/>
    </row>
    <row r="42" ht="13.5" customHeight="1">
      <c r="A42" s="8"/>
      <c r="B42" s="41"/>
      <c r="C42" s="41"/>
      <c r="D42" s="41"/>
      <c r="E42" s="41"/>
      <c r="F42" s="41"/>
      <c r="G42" s="41"/>
      <c r="H42" s="41"/>
      <c r="I42" s="41"/>
      <c r="J42" s="41"/>
      <c r="K42" s="41"/>
      <c r="L42" s="41"/>
      <c r="M42" s="41"/>
      <c r="N42" s="41"/>
      <c r="O42" s="41"/>
      <c r="P42" s="41"/>
      <c r="Q42" s="41"/>
      <c r="R42" s="41"/>
      <c r="S42" s="41"/>
      <c r="T42" s="41"/>
      <c r="U42" s="41"/>
      <c r="V42" s="13"/>
      <c r="W42" s="41"/>
      <c r="X42" s="41"/>
      <c r="Y42" s="41"/>
      <c r="Z42" s="41"/>
      <c r="AA42" s="41"/>
      <c r="AB42" s="41"/>
      <c r="AC42" s="41"/>
      <c r="AD42" s="41"/>
      <c r="AE42" s="41"/>
      <c r="AF42" s="41"/>
      <c r="AG42" s="41"/>
      <c r="AH42" s="41"/>
      <c r="AI42" s="41"/>
      <c r="AJ42" s="41"/>
      <c r="AK42" s="41"/>
    </row>
    <row r="43" ht="13.5" customHeight="1">
      <c r="A43" s="8"/>
      <c r="B43" s="41"/>
      <c r="C43" s="41"/>
      <c r="D43" s="41"/>
      <c r="E43" s="41"/>
      <c r="F43" s="41"/>
      <c r="G43" s="41"/>
      <c r="H43" s="41"/>
      <c r="I43" s="41"/>
      <c r="J43" s="41"/>
      <c r="K43" s="41"/>
      <c r="L43" s="41"/>
      <c r="M43" s="41"/>
      <c r="N43" s="41"/>
      <c r="O43" s="41"/>
      <c r="P43" s="41"/>
      <c r="Q43" s="41"/>
      <c r="R43" s="41"/>
      <c r="S43" s="41"/>
      <c r="T43" s="41"/>
      <c r="U43" s="41"/>
      <c r="V43" s="13"/>
      <c r="W43" s="41"/>
      <c r="X43" s="41"/>
      <c r="Y43" s="41"/>
      <c r="Z43" s="41"/>
      <c r="AA43" s="41"/>
      <c r="AB43" s="41"/>
      <c r="AC43" s="41"/>
      <c r="AD43" s="41"/>
      <c r="AE43" s="41"/>
      <c r="AF43" s="41"/>
      <c r="AG43" s="41"/>
      <c r="AH43" s="41"/>
      <c r="AI43" s="41"/>
      <c r="AJ43" s="41"/>
      <c r="AK43" s="41"/>
    </row>
    <row r="44" ht="13.5" customHeight="1">
      <c r="A44" s="8"/>
      <c r="B44" s="41"/>
      <c r="C44" s="41"/>
      <c r="D44" s="41"/>
      <c r="E44" s="41"/>
      <c r="F44" s="41"/>
      <c r="G44" s="41"/>
      <c r="H44" s="41"/>
      <c r="I44" s="41"/>
      <c r="J44" s="41"/>
      <c r="K44" s="41"/>
      <c r="L44" s="41"/>
      <c r="M44" s="41"/>
      <c r="N44" s="41"/>
      <c r="O44" s="41"/>
      <c r="P44" s="41"/>
      <c r="Q44" s="41"/>
      <c r="R44" s="41"/>
      <c r="S44" s="41"/>
      <c r="T44" s="41"/>
      <c r="U44" s="41"/>
      <c r="V44" s="13"/>
      <c r="W44" s="41"/>
      <c r="X44" s="41"/>
      <c r="Y44" s="41"/>
      <c r="Z44" s="41"/>
      <c r="AA44" s="41"/>
      <c r="AB44" s="41"/>
      <c r="AC44" s="41"/>
      <c r="AD44" s="41"/>
      <c r="AE44" s="41"/>
      <c r="AF44" s="41"/>
      <c r="AG44" s="41"/>
      <c r="AH44" s="41"/>
      <c r="AI44" s="41"/>
      <c r="AJ44" s="41"/>
      <c r="AK44" s="41"/>
    </row>
    <row r="45" ht="13.5" customHeight="1">
      <c r="A45" s="8"/>
      <c r="B45" s="41"/>
      <c r="C45" s="41"/>
      <c r="D45" s="41"/>
      <c r="E45" s="41"/>
      <c r="F45" s="41"/>
      <c r="G45" s="41"/>
      <c r="H45" s="41"/>
      <c r="I45" s="41"/>
      <c r="J45" s="41"/>
      <c r="K45" s="41"/>
      <c r="L45" s="41"/>
      <c r="M45" s="41"/>
      <c r="N45" s="41"/>
      <c r="O45" s="41"/>
      <c r="P45" s="41"/>
      <c r="Q45" s="41"/>
      <c r="R45" s="41"/>
      <c r="S45" s="41"/>
      <c r="T45" s="41"/>
      <c r="U45" s="41"/>
      <c r="V45" s="13"/>
      <c r="W45" s="41"/>
      <c r="X45" s="41"/>
      <c r="Y45" s="41"/>
      <c r="Z45" s="41"/>
      <c r="AA45" s="41"/>
      <c r="AB45" s="41"/>
      <c r="AC45" s="41"/>
      <c r="AD45" s="41"/>
      <c r="AE45" s="41"/>
      <c r="AF45" s="41"/>
      <c r="AG45" s="41"/>
      <c r="AH45" s="41"/>
      <c r="AI45" s="41"/>
      <c r="AJ45" s="41"/>
      <c r="AK45" s="41"/>
    </row>
    <row r="46" ht="13.5" customHeight="1">
      <c r="A46" s="8"/>
      <c r="B46" s="41"/>
      <c r="C46" s="41"/>
      <c r="D46" s="41"/>
      <c r="E46" s="41"/>
      <c r="F46" s="41"/>
      <c r="G46" s="41"/>
      <c r="H46" s="41"/>
      <c r="I46" s="41"/>
      <c r="J46" s="41"/>
      <c r="K46" s="41"/>
      <c r="L46" s="41"/>
      <c r="M46" s="41"/>
      <c r="N46" s="41"/>
      <c r="O46" s="41"/>
      <c r="P46" s="41"/>
      <c r="Q46" s="41"/>
      <c r="R46" s="41"/>
      <c r="S46" s="41"/>
      <c r="T46" s="41"/>
      <c r="U46" s="41"/>
      <c r="V46" s="13"/>
      <c r="W46" s="41"/>
      <c r="X46" s="41"/>
      <c r="Y46" s="41"/>
      <c r="Z46" s="41"/>
      <c r="AA46" s="41"/>
      <c r="AB46" s="41"/>
      <c r="AC46" s="41"/>
      <c r="AD46" s="41"/>
      <c r="AE46" s="41"/>
      <c r="AF46" s="41"/>
      <c r="AG46" s="41"/>
      <c r="AH46" s="41"/>
      <c r="AI46" s="41"/>
      <c r="AJ46" s="41"/>
      <c r="AK46" s="41"/>
    </row>
    <row r="47" ht="13.5" customHeight="1">
      <c r="A47" s="8"/>
      <c r="B47" s="41"/>
      <c r="C47" s="41"/>
      <c r="D47" s="41"/>
      <c r="E47" s="41"/>
      <c r="F47" s="41"/>
      <c r="G47" s="41"/>
      <c r="H47" s="41"/>
      <c r="I47" s="41"/>
      <c r="J47" s="41"/>
      <c r="K47" s="41"/>
      <c r="L47" s="41"/>
      <c r="M47" s="41"/>
      <c r="N47" s="41"/>
      <c r="O47" s="41"/>
      <c r="P47" s="41"/>
      <c r="Q47" s="41"/>
      <c r="R47" s="41"/>
      <c r="S47" s="41"/>
      <c r="T47" s="41"/>
      <c r="U47" s="41"/>
      <c r="V47" s="13"/>
      <c r="W47" s="41"/>
      <c r="X47" s="41"/>
      <c r="Y47" s="41"/>
      <c r="Z47" s="41"/>
      <c r="AA47" s="41"/>
      <c r="AB47" s="41"/>
      <c r="AC47" s="41"/>
      <c r="AD47" s="41"/>
      <c r="AE47" s="41"/>
      <c r="AF47" s="41"/>
      <c r="AG47" s="41"/>
      <c r="AH47" s="41"/>
      <c r="AI47" s="41"/>
      <c r="AJ47" s="41"/>
      <c r="AK47" s="41"/>
    </row>
    <row r="48" ht="13.5" customHeight="1">
      <c r="A48" s="8"/>
      <c r="B48" s="41"/>
      <c r="C48" s="41"/>
      <c r="D48" s="41"/>
      <c r="E48" s="41"/>
      <c r="F48" s="41"/>
      <c r="G48" s="41"/>
      <c r="H48" s="41"/>
      <c r="I48" s="41"/>
      <c r="J48" s="41"/>
      <c r="K48" s="41"/>
      <c r="L48" s="41"/>
      <c r="M48" s="41"/>
      <c r="N48" s="41"/>
      <c r="O48" s="41"/>
      <c r="P48" s="41"/>
      <c r="Q48" s="41"/>
      <c r="R48" s="41"/>
      <c r="S48" s="41"/>
      <c r="T48" s="41"/>
      <c r="U48" s="41"/>
      <c r="V48" s="13"/>
      <c r="W48" s="41"/>
      <c r="X48" s="41"/>
      <c r="Y48" s="41"/>
      <c r="Z48" s="41"/>
      <c r="AA48" s="41"/>
      <c r="AB48" s="41"/>
      <c r="AC48" s="41"/>
      <c r="AD48" s="41"/>
      <c r="AE48" s="41"/>
      <c r="AF48" s="41"/>
      <c r="AG48" s="41"/>
      <c r="AH48" s="41"/>
      <c r="AI48" s="41"/>
      <c r="AJ48" s="41"/>
      <c r="AK48" s="41"/>
    </row>
    <row r="49" ht="13.5" customHeight="1">
      <c r="A49" s="8"/>
      <c r="B49" s="41"/>
      <c r="C49" s="41"/>
      <c r="D49" s="41"/>
      <c r="E49" s="41"/>
      <c r="F49" s="41"/>
      <c r="G49" s="41"/>
      <c r="H49" s="41"/>
      <c r="I49" s="41"/>
      <c r="J49" s="41"/>
      <c r="K49" s="41"/>
      <c r="L49" s="41"/>
      <c r="M49" s="41"/>
      <c r="N49" s="41"/>
      <c r="O49" s="41"/>
      <c r="P49" s="41"/>
      <c r="Q49" s="41"/>
      <c r="R49" s="41"/>
      <c r="S49" s="41"/>
      <c r="T49" s="41"/>
      <c r="U49" s="41"/>
      <c r="V49" s="13"/>
      <c r="W49" s="41"/>
      <c r="X49" s="41"/>
      <c r="Y49" s="41"/>
      <c r="Z49" s="41"/>
      <c r="AA49" s="41"/>
      <c r="AB49" s="41"/>
      <c r="AC49" s="41"/>
      <c r="AD49" s="41"/>
      <c r="AE49" s="41"/>
      <c r="AF49" s="41"/>
      <c r="AG49" s="41"/>
      <c r="AH49" s="41"/>
      <c r="AI49" s="41"/>
      <c r="AJ49" s="41"/>
      <c r="AK49" s="41"/>
    </row>
    <row r="50" ht="13.5" customHeight="1">
      <c r="A50" s="8"/>
      <c r="B50" s="41"/>
      <c r="C50" s="41"/>
      <c r="D50" s="41"/>
      <c r="E50" s="41"/>
      <c r="F50" s="41"/>
      <c r="G50" s="41"/>
      <c r="H50" s="41"/>
      <c r="I50" s="41"/>
      <c r="J50" s="41"/>
      <c r="K50" s="41"/>
      <c r="L50" s="41"/>
      <c r="M50" s="41"/>
      <c r="N50" s="41"/>
      <c r="O50" s="41"/>
      <c r="P50" s="41"/>
      <c r="Q50" s="41"/>
      <c r="R50" s="41"/>
      <c r="S50" s="41"/>
      <c r="T50" s="41"/>
      <c r="U50" s="41"/>
      <c r="V50" s="13"/>
      <c r="W50" s="41"/>
      <c r="X50" s="41"/>
      <c r="Y50" s="41"/>
      <c r="Z50" s="41"/>
      <c r="AA50" s="41"/>
      <c r="AB50" s="41"/>
      <c r="AC50" s="41"/>
      <c r="AD50" s="41"/>
      <c r="AE50" s="41"/>
      <c r="AF50" s="41"/>
      <c r="AG50" s="41"/>
      <c r="AH50" s="41"/>
      <c r="AI50" s="41"/>
      <c r="AJ50" s="41"/>
      <c r="AK50" s="41"/>
    </row>
    <row r="51" ht="13.5" customHeight="1">
      <c r="A51" s="8"/>
      <c r="B51" s="41"/>
      <c r="C51" s="41"/>
      <c r="D51" s="41"/>
      <c r="E51" s="41"/>
      <c r="F51" s="41"/>
      <c r="G51" s="41"/>
      <c r="H51" s="41"/>
      <c r="I51" s="41"/>
      <c r="J51" s="41"/>
      <c r="K51" s="41"/>
      <c r="L51" s="41"/>
      <c r="M51" s="41"/>
      <c r="N51" s="41"/>
      <c r="O51" s="41"/>
      <c r="P51" s="41"/>
      <c r="Q51" s="41"/>
      <c r="R51" s="41"/>
      <c r="S51" s="41"/>
      <c r="T51" s="41"/>
      <c r="U51" s="41"/>
      <c r="V51" s="13"/>
      <c r="W51" s="41"/>
      <c r="X51" s="41"/>
      <c r="Y51" s="41"/>
      <c r="Z51" s="41"/>
      <c r="AA51" s="41"/>
      <c r="AB51" s="41"/>
      <c r="AC51" s="41"/>
      <c r="AD51" s="41"/>
      <c r="AE51" s="41"/>
      <c r="AF51" s="41"/>
      <c r="AG51" s="41"/>
      <c r="AH51" s="41"/>
      <c r="AI51" s="41"/>
      <c r="AJ51" s="41"/>
      <c r="AK51" s="41"/>
    </row>
    <row r="52" ht="13.5" customHeight="1">
      <c r="A52" s="8"/>
      <c r="B52" s="41"/>
      <c r="C52" s="41"/>
      <c r="D52" s="41"/>
      <c r="E52" s="41"/>
      <c r="F52" s="41"/>
      <c r="G52" s="41"/>
      <c r="H52" s="41"/>
      <c r="I52" s="41"/>
      <c r="J52" s="41"/>
      <c r="K52" s="41"/>
      <c r="L52" s="41"/>
      <c r="M52" s="41"/>
      <c r="N52" s="41"/>
      <c r="O52" s="41"/>
      <c r="P52" s="41"/>
      <c r="Q52" s="41"/>
      <c r="R52" s="41"/>
      <c r="S52" s="41"/>
      <c r="T52" s="41"/>
      <c r="U52" s="41"/>
      <c r="V52" s="13"/>
      <c r="W52" s="41"/>
      <c r="X52" s="41"/>
      <c r="Y52" s="41"/>
      <c r="Z52" s="41"/>
      <c r="AA52" s="41"/>
      <c r="AB52" s="41"/>
      <c r="AC52" s="41"/>
      <c r="AD52" s="41"/>
      <c r="AE52" s="41"/>
      <c r="AF52" s="41"/>
      <c r="AG52" s="41"/>
      <c r="AH52" s="41"/>
      <c r="AI52" s="41"/>
      <c r="AJ52" s="41"/>
      <c r="AK52" s="41"/>
    </row>
    <row r="53" ht="13.5" customHeight="1">
      <c r="A53" s="8"/>
      <c r="B53" s="41"/>
      <c r="C53" s="41"/>
      <c r="D53" s="41"/>
      <c r="E53" s="41"/>
      <c r="F53" s="41"/>
      <c r="G53" s="41"/>
      <c r="H53" s="41"/>
      <c r="I53" s="41"/>
      <c r="J53" s="41"/>
      <c r="K53" s="41"/>
      <c r="L53" s="41"/>
      <c r="M53" s="41"/>
      <c r="N53" s="41"/>
      <c r="O53" s="41"/>
      <c r="P53" s="41"/>
      <c r="Q53" s="41"/>
      <c r="R53" s="41"/>
      <c r="S53" s="41"/>
      <c r="T53" s="41"/>
      <c r="U53" s="41"/>
      <c r="V53" s="13"/>
      <c r="W53" s="41"/>
      <c r="X53" s="41"/>
      <c r="Y53" s="41"/>
      <c r="Z53" s="41"/>
      <c r="AA53" s="41"/>
      <c r="AB53" s="41"/>
      <c r="AC53" s="41"/>
      <c r="AD53" s="41"/>
      <c r="AE53" s="41"/>
      <c r="AF53" s="41"/>
      <c r="AG53" s="41"/>
      <c r="AH53" s="41"/>
      <c r="AI53" s="41"/>
      <c r="AJ53" s="41"/>
      <c r="AK53" s="41"/>
    </row>
    <row r="54" ht="13.5" customHeight="1">
      <c r="A54" s="8"/>
      <c r="B54" s="41"/>
      <c r="C54" s="41"/>
      <c r="D54" s="41"/>
      <c r="E54" s="41"/>
      <c r="F54" s="41"/>
      <c r="G54" s="41"/>
      <c r="H54" s="41"/>
      <c r="I54" s="41"/>
      <c r="J54" s="41"/>
      <c r="K54" s="41"/>
      <c r="L54" s="41"/>
      <c r="M54" s="41"/>
      <c r="N54" s="41"/>
      <c r="O54" s="41"/>
      <c r="P54" s="41"/>
      <c r="Q54" s="41"/>
      <c r="R54" s="41"/>
      <c r="S54" s="41"/>
      <c r="T54" s="41"/>
      <c r="U54" s="41"/>
      <c r="V54" s="13"/>
      <c r="W54" s="41"/>
      <c r="X54" s="41"/>
      <c r="Y54" s="41"/>
      <c r="Z54" s="41"/>
      <c r="AA54" s="41"/>
      <c r="AB54" s="41"/>
      <c r="AC54" s="41"/>
      <c r="AD54" s="41"/>
      <c r="AE54" s="41"/>
      <c r="AF54" s="41"/>
      <c r="AG54" s="41"/>
      <c r="AH54" s="41"/>
      <c r="AI54" s="41"/>
      <c r="AJ54" s="41"/>
      <c r="AK54" s="41"/>
    </row>
    <row r="55" ht="13.5" customHeight="1">
      <c r="A55" s="8"/>
      <c r="B55" s="41"/>
      <c r="C55" s="41"/>
      <c r="D55" s="41"/>
      <c r="E55" s="41"/>
      <c r="F55" s="41"/>
      <c r="G55" s="41"/>
      <c r="H55" s="41"/>
      <c r="I55" s="41"/>
      <c r="J55" s="41"/>
      <c r="K55" s="41"/>
      <c r="L55" s="41"/>
      <c r="M55" s="41"/>
      <c r="N55" s="41"/>
      <c r="O55" s="41"/>
      <c r="P55" s="41"/>
      <c r="Q55" s="41"/>
      <c r="R55" s="41"/>
      <c r="S55" s="41"/>
      <c r="T55" s="41"/>
      <c r="U55" s="41"/>
      <c r="V55" s="13"/>
      <c r="W55" s="41"/>
      <c r="X55" s="41"/>
      <c r="Y55" s="41"/>
      <c r="Z55" s="41"/>
      <c r="AA55" s="41"/>
      <c r="AB55" s="41"/>
      <c r="AC55" s="41"/>
      <c r="AD55" s="41"/>
      <c r="AE55" s="41"/>
      <c r="AF55" s="41"/>
      <c r="AG55" s="41"/>
      <c r="AH55" s="41"/>
      <c r="AI55" s="41"/>
      <c r="AJ55" s="41"/>
      <c r="AK55" s="41"/>
    </row>
    <row r="56" ht="13.5" customHeight="1">
      <c r="A56" s="8"/>
      <c r="B56" s="41"/>
      <c r="C56" s="41"/>
      <c r="D56" s="41"/>
      <c r="E56" s="41"/>
      <c r="F56" s="41"/>
      <c r="G56" s="41"/>
      <c r="H56" s="41"/>
      <c r="I56" s="41"/>
      <c r="J56" s="41"/>
      <c r="K56" s="41"/>
      <c r="L56" s="41"/>
      <c r="M56" s="41"/>
      <c r="N56" s="41"/>
      <c r="O56" s="41"/>
      <c r="P56" s="41"/>
      <c r="Q56" s="41"/>
      <c r="R56" s="41"/>
      <c r="S56" s="41"/>
      <c r="T56" s="41"/>
      <c r="U56" s="41"/>
      <c r="V56" s="60"/>
      <c r="W56" s="41"/>
      <c r="X56" s="41"/>
      <c r="Y56" s="41"/>
      <c r="Z56" s="41"/>
      <c r="AA56" s="41"/>
      <c r="AB56" s="41"/>
      <c r="AC56" s="41"/>
      <c r="AD56" s="41"/>
      <c r="AE56" s="41"/>
      <c r="AF56" s="41"/>
      <c r="AG56" s="41"/>
      <c r="AH56" s="41"/>
      <c r="AI56" s="41"/>
      <c r="AJ56" s="41"/>
      <c r="AK56" s="41"/>
    </row>
    <row r="57" ht="13.5" customHeight="1">
      <c r="A57" s="8"/>
      <c r="B57" s="41"/>
      <c r="C57" s="41"/>
      <c r="D57" s="41"/>
      <c r="E57" s="41"/>
      <c r="F57" s="41"/>
      <c r="G57" s="41"/>
      <c r="H57" s="41"/>
      <c r="I57" s="41"/>
      <c r="J57" s="41"/>
      <c r="K57" s="41"/>
      <c r="L57" s="41"/>
      <c r="M57" s="41"/>
      <c r="N57" s="41"/>
      <c r="O57" s="41"/>
      <c r="P57" s="41"/>
      <c r="Q57" s="41"/>
      <c r="R57" s="41"/>
      <c r="S57" s="41"/>
      <c r="T57" s="41"/>
      <c r="U57" s="41"/>
      <c r="V57" s="60"/>
      <c r="W57" s="41"/>
      <c r="X57" s="41"/>
      <c r="Y57" s="41"/>
      <c r="Z57" s="41"/>
      <c r="AA57" s="41"/>
      <c r="AB57" s="41"/>
      <c r="AC57" s="41"/>
      <c r="AD57" s="41"/>
      <c r="AE57" s="41"/>
      <c r="AF57" s="41"/>
      <c r="AG57" s="41"/>
      <c r="AH57" s="41"/>
      <c r="AI57" s="41"/>
      <c r="AJ57" s="41"/>
      <c r="AK57" s="41"/>
    </row>
    <row r="58" ht="13.5" customHeight="1">
      <c r="A58" s="8"/>
      <c r="B58" s="41"/>
      <c r="C58" s="41"/>
      <c r="D58" s="41"/>
      <c r="E58" s="41"/>
      <c r="F58" s="41"/>
      <c r="G58" s="41"/>
      <c r="H58" s="41"/>
      <c r="I58" s="41"/>
      <c r="J58" s="41"/>
      <c r="K58" s="41"/>
      <c r="L58" s="41"/>
      <c r="M58" s="41"/>
      <c r="N58" s="41"/>
      <c r="O58" s="41"/>
      <c r="P58" s="41"/>
      <c r="Q58" s="41"/>
      <c r="R58" s="41"/>
      <c r="S58" s="41"/>
      <c r="T58" s="41"/>
      <c r="U58" s="41"/>
      <c r="V58" s="60"/>
      <c r="W58" s="41"/>
      <c r="X58" s="41"/>
      <c r="Y58" s="41"/>
      <c r="Z58" s="41"/>
      <c r="AA58" s="41"/>
      <c r="AB58" s="41"/>
      <c r="AC58" s="41"/>
      <c r="AD58" s="41"/>
      <c r="AE58" s="41"/>
      <c r="AF58" s="41"/>
      <c r="AG58" s="41"/>
      <c r="AH58" s="41"/>
      <c r="AI58" s="41"/>
      <c r="AJ58" s="41"/>
      <c r="AK58" s="41"/>
    </row>
    <row r="59" ht="13.5" customHeight="1">
      <c r="A59" s="8"/>
      <c r="B59" s="41"/>
      <c r="C59" s="41"/>
      <c r="D59" s="41"/>
      <c r="E59" s="41"/>
      <c r="F59" s="41"/>
      <c r="G59" s="41"/>
      <c r="H59" s="41"/>
      <c r="I59" s="41"/>
      <c r="J59" s="41"/>
      <c r="K59" s="41"/>
      <c r="L59" s="41"/>
      <c r="M59" s="41"/>
      <c r="N59" s="41"/>
      <c r="O59" s="41"/>
      <c r="P59" s="41"/>
      <c r="Q59" s="41"/>
      <c r="R59" s="41"/>
      <c r="S59" s="41"/>
      <c r="T59" s="41"/>
      <c r="U59" s="41"/>
      <c r="V59" s="60"/>
      <c r="W59" s="41"/>
      <c r="X59" s="41"/>
      <c r="Y59" s="41"/>
      <c r="Z59" s="41"/>
      <c r="AA59" s="41"/>
      <c r="AB59" s="41"/>
      <c r="AC59" s="41"/>
      <c r="AD59" s="41"/>
      <c r="AE59" s="41"/>
      <c r="AF59" s="41"/>
      <c r="AG59" s="41"/>
      <c r="AH59" s="41"/>
      <c r="AI59" s="41"/>
      <c r="AJ59" s="41"/>
      <c r="AK59" s="41"/>
    </row>
    <row r="60" ht="13.5" customHeight="1">
      <c r="A60" s="8"/>
      <c r="B60" s="41"/>
      <c r="C60" s="41"/>
      <c r="D60" s="41"/>
      <c r="E60" s="41"/>
      <c r="F60" s="41"/>
      <c r="G60" s="41"/>
      <c r="H60" s="41"/>
      <c r="I60" s="41"/>
      <c r="J60" s="41"/>
      <c r="K60" s="41"/>
      <c r="L60" s="41"/>
      <c r="M60" s="41"/>
      <c r="N60" s="41"/>
      <c r="O60" s="41"/>
      <c r="P60" s="41"/>
      <c r="Q60" s="41"/>
      <c r="R60" s="41"/>
      <c r="S60" s="41"/>
      <c r="T60" s="41"/>
      <c r="U60" s="41"/>
      <c r="V60" s="60"/>
      <c r="W60" s="41"/>
      <c r="X60" s="41"/>
      <c r="Y60" s="41"/>
      <c r="Z60" s="41"/>
      <c r="AA60" s="41"/>
      <c r="AB60" s="41"/>
      <c r="AC60" s="41"/>
      <c r="AD60" s="41"/>
      <c r="AE60" s="41"/>
      <c r="AF60" s="41"/>
      <c r="AG60" s="41"/>
      <c r="AH60" s="41"/>
      <c r="AI60" s="41"/>
      <c r="AJ60" s="41"/>
      <c r="AK60" s="41"/>
    </row>
    <row r="61" ht="13.5" customHeight="1">
      <c r="A61" s="8"/>
      <c r="B61" s="41"/>
      <c r="C61" s="41"/>
      <c r="D61" s="41"/>
      <c r="E61" s="41"/>
      <c r="F61" s="41"/>
      <c r="G61" s="41"/>
      <c r="H61" s="41"/>
      <c r="I61" s="41"/>
      <c r="J61" s="41"/>
      <c r="K61" s="41"/>
      <c r="L61" s="41"/>
      <c r="M61" s="41"/>
      <c r="N61" s="41"/>
      <c r="O61" s="41"/>
      <c r="P61" s="41"/>
      <c r="Q61" s="41"/>
      <c r="R61" s="41"/>
      <c r="S61" s="41"/>
      <c r="T61" s="41"/>
      <c r="U61" s="41"/>
      <c r="V61" s="60"/>
      <c r="W61" s="41"/>
      <c r="X61" s="41"/>
      <c r="Y61" s="41"/>
      <c r="Z61" s="41"/>
      <c r="AA61" s="41"/>
      <c r="AB61" s="41"/>
      <c r="AC61" s="41"/>
      <c r="AD61" s="41"/>
      <c r="AE61" s="41"/>
      <c r="AF61" s="41"/>
      <c r="AG61" s="41"/>
      <c r="AH61" s="41"/>
      <c r="AI61" s="41"/>
      <c r="AJ61" s="41"/>
      <c r="AK61" s="41"/>
    </row>
    <row r="62" ht="13.5" customHeight="1">
      <c r="A62" s="8"/>
      <c r="B62" s="41"/>
      <c r="C62" s="41"/>
      <c r="D62" s="41"/>
      <c r="E62" s="41"/>
      <c r="F62" s="41"/>
      <c r="G62" s="41"/>
      <c r="H62" s="41"/>
      <c r="I62" s="41"/>
      <c r="J62" s="41"/>
      <c r="K62" s="41"/>
      <c r="L62" s="41"/>
      <c r="M62" s="41"/>
      <c r="N62" s="41"/>
      <c r="O62" s="41"/>
      <c r="P62" s="41"/>
      <c r="Q62" s="41"/>
      <c r="R62" s="41"/>
      <c r="S62" s="41"/>
      <c r="T62" s="41"/>
      <c r="U62" s="41"/>
      <c r="V62" s="60"/>
      <c r="W62" s="41"/>
      <c r="X62" s="41"/>
      <c r="Y62" s="41"/>
      <c r="Z62" s="41"/>
      <c r="AA62" s="41"/>
      <c r="AB62" s="41"/>
      <c r="AC62" s="41"/>
      <c r="AD62" s="41"/>
      <c r="AE62" s="41"/>
      <c r="AF62" s="41"/>
      <c r="AG62" s="41"/>
      <c r="AH62" s="41"/>
      <c r="AI62" s="41"/>
      <c r="AJ62" s="41"/>
      <c r="AK62" s="41"/>
    </row>
    <row r="63" ht="13.5" customHeight="1">
      <c r="A63" s="8"/>
      <c r="B63" s="41"/>
      <c r="C63" s="41"/>
      <c r="D63" s="41"/>
      <c r="E63" s="41"/>
      <c r="F63" s="41"/>
      <c r="G63" s="41"/>
      <c r="H63" s="41"/>
      <c r="I63" s="41"/>
      <c r="J63" s="41"/>
      <c r="K63" s="41"/>
      <c r="L63" s="41"/>
      <c r="M63" s="41"/>
      <c r="N63" s="41"/>
      <c r="O63" s="41"/>
      <c r="P63" s="41"/>
      <c r="Q63" s="41"/>
      <c r="R63" s="41"/>
      <c r="S63" s="41"/>
      <c r="T63" s="41"/>
      <c r="U63" s="41"/>
      <c r="V63" s="60"/>
      <c r="W63" s="41"/>
      <c r="X63" s="41"/>
      <c r="Y63" s="41"/>
      <c r="Z63" s="41"/>
      <c r="AA63" s="41"/>
      <c r="AB63" s="41"/>
      <c r="AC63" s="41"/>
      <c r="AD63" s="41"/>
      <c r="AE63" s="41"/>
      <c r="AF63" s="41"/>
      <c r="AG63" s="41"/>
      <c r="AH63" s="41"/>
      <c r="AI63" s="41"/>
      <c r="AJ63" s="41"/>
      <c r="AK63" s="41"/>
    </row>
    <row r="64" ht="13.5" customHeight="1">
      <c r="A64" s="8"/>
      <c r="B64" s="41"/>
      <c r="C64" s="41"/>
      <c r="D64" s="41"/>
      <c r="E64" s="41"/>
      <c r="F64" s="41"/>
      <c r="G64" s="41"/>
      <c r="H64" s="41"/>
      <c r="I64" s="41"/>
      <c r="J64" s="41"/>
      <c r="K64" s="41"/>
      <c r="L64" s="41"/>
      <c r="M64" s="41"/>
      <c r="N64" s="41"/>
      <c r="O64" s="41"/>
      <c r="P64" s="41"/>
      <c r="Q64" s="41"/>
      <c r="R64" s="41"/>
      <c r="S64" s="41"/>
      <c r="T64" s="41"/>
      <c r="U64" s="41"/>
      <c r="V64" s="60"/>
      <c r="W64" s="41"/>
      <c r="X64" s="41"/>
      <c r="Y64" s="41"/>
      <c r="Z64" s="41"/>
      <c r="AA64" s="41"/>
      <c r="AB64" s="41"/>
      <c r="AC64" s="41"/>
      <c r="AD64" s="41"/>
      <c r="AE64" s="41"/>
      <c r="AF64" s="41"/>
      <c r="AG64" s="41"/>
      <c r="AH64" s="41"/>
      <c r="AI64" s="41"/>
      <c r="AJ64" s="41"/>
      <c r="AK64" s="41"/>
    </row>
    <row r="65" ht="13.5" customHeight="1">
      <c r="A65" s="8"/>
      <c r="B65" s="41"/>
      <c r="C65" s="41"/>
      <c r="D65" s="41"/>
      <c r="E65" s="41"/>
      <c r="F65" s="41"/>
      <c r="G65" s="41"/>
      <c r="H65" s="41"/>
      <c r="I65" s="41"/>
      <c r="J65" s="41"/>
      <c r="K65" s="41"/>
      <c r="L65" s="41"/>
      <c r="M65" s="41"/>
      <c r="N65" s="41"/>
      <c r="O65" s="41"/>
      <c r="P65" s="41"/>
      <c r="Q65" s="41"/>
      <c r="R65" s="41"/>
      <c r="S65" s="41"/>
      <c r="T65" s="41"/>
      <c r="U65" s="41"/>
      <c r="V65" s="60"/>
      <c r="W65" s="41"/>
      <c r="X65" s="41"/>
      <c r="Y65" s="41"/>
      <c r="Z65" s="41"/>
      <c r="AA65" s="41"/>
      <c r="AB65" s="41"/>
      <c r="AC65" s="41"/>
      <c r="AD65" s="41"/>
      <c r="AE65" s="41"/>
      <c r="AF65" s="41"/>
      <c r="AG65" s="41"/>
      <c r="AH65" s="41"/>
      <c r="AI65" s="41"/>
      <c r="AJ65" s="41"/>
      <c r="AK65" s="41"/>
    </row>
    <row r="66" ht="13.5" customHeight="1">
      <c r="A66" s="8"/>
      <c r="B66" s="41"/>
      <c r="C66" s="41"/>
      <c r="D66" s="41"/>
      <c r="E66" s="41"/>
      <c r="F66" s="41"/>
      <c r="G66" s="41"/>
      <c r="H66" s="41"/>
      <c r="I66" s="41"/>
      <c r="J66" s="41"/>
      <c r="K66" s="41"/>
      <c r="L66" s="41"/>
      <c r="M66" s="41"/>
      <c r="N66" s="41"/>
      <c r="O66" s="41"/>
      <c r="P66" s="41"/>
      <c r="Q66" s="41"/>
      <c r="R66" s="41"/>
      <c r="S66" s="41"/>
      <c r="T66" s="41"/>
      <c r="U66" s="41"/>
      <c r="V66" s="60"/>
      <c r="W66" s="41"/>
      <c r="X66" s="41"/>
      <c r="Y66" s="41"/>
      <c r="Z66" s="41"/>
      <c r="AA66" s="41"/>
      <c r="AB66" s="41"/>
      <c r="AC66" s="41"/>
      <c r="AD66" s="41"/>
      <c r="AE66" s="41"/>
      <c r="AF66" s="41"/>
      <c r="AG66" s="41"/>
      <c r="AH66" s="41"/>
      <c r="AI66" s="41"/>
      <c r="AJ66" s="41"/>
      <c r="AK66" s="41"/>
    </row>
    <row r="67" ht="13.5" customHeight="1">
      <c r="A67" s="8"/>
      <c r="B67" s="41"/>
      <c r="C67" s="41"/>
      <c r="D67" s="41"/>
      <c r="E67" s="41"/>
      <c r="F67" s="41"/>
      <c r="G67" s="41"/>
      <c r="H67" s="41"/>
      <c r="I67" s="41"/>
      <c r="J67" s="41"/>
      <c r="K67" s="41"/>
      <c r="L67" s="41"/>
      <c r="M67" s="41"/>
      <c r="N67" s="41"/>
      <c r="O67" s="41"/>
      <c r="P67" s="41"/>
      <c r="Q67" s="41"/>
      <c r="R67" s="41"/>
      <c r="S67" s="41"/>
      <c r="T67" s="41"/>
      <c r="U67" s="41"/>
      <c r="V67" s="60"/>
      <c r="W67" s="41"/>
      <c r="X67" s="41"/>
      <c r="Y67" s="41"/>
      <c r="Z67" s="41"/>
      <c r="AA67" s="41"/>
      <c r="AB67" s="41"/>
      <c r="AC67" s="41"/>
      <c r="AD67" s="41"/>
      <c r="AE67" s="41"/>
      <c r="AF67" s="41"/>
      <c r="AG67" s="41"/>
      <c r="AH67" s="41"/>
      <c r="AI67" s="41"/>
      <c r="AJ67" s="41"/>
      <c r="AK67" s="41"/>
    </row>
    <row r="68" ht="13.5" customHeight="1">
      <c r="A68" s="8"/>
      <c r="B68" s="41"/>
      <c r="C68" s="41"/>
      <c r="D68" s="41"/>
      <c r="E68" s="41"/>
      <c r="F68" s="41"/>
      <c r="G68" s="41"/>
      <c r="H68" s="41"/>
      <c r="I68" s="41"/>
      <c r="J68" s="41"/>
      <c r="K68" s="41"/>
      <c r="L68" s="41"/>
      <c r="M68" s="41"/>
      <c r="N68" s="41"/>
      <c r="O68" s="41"/>
      <c r="P68" s="41"/>
      <c r="Q68" s="41"/>
      <c r="R68" s="41"/>
      <c r="S68" s="41"/>
      <c r="T68" s="41"/>
      <c r="U68" s="41"/>
      <c r="V68" s="60"/>
      <c r="W68" s="41"/>
      <c r="X68" s="41"/>
      <c r="Y68" s="41"/>
      <c r="Z68" s="41"/>
      <c r="AA68" s="41"/>
      <c r="AB68" s="41"/>
      <c r="AC68" s="41"/>
      <c r="AD68" s="41"/>
      <c r="AE68" s="41"/>
      <c r="AF68" s="41"/>
      <c r="AG68" s="41"/>
      <c r="AH68" s="41"/>
      <c r="AI68" s="41"/>
      <c r="AJ68" s="41"/>
      <c r="AK68" s="41"/>
    </row>
    <row r="69" ht="13.5" customHeight="1">
      <c r="A69" s="8"/>
      <c r="B69" s="41"/>
      <c r="C69" s="41"/>
      <c r="D69" s="41"/>
      <c r="E69" s="41"/>
      <c r="F69" s="41"/>
      <c r="G69" s="41"/>
      <c r="H69" s="41"/>
      <c r="I69" s="41"/>
      <c r="J69" s="41"/>
      <c r="K69" s="41"/>
      <c r="L69" s="41"/>
      <c r="M69" s="41"/>
      <c r="N69" s="41"/>
      <c r="O69" s="41"/>
      <c r="P69" s="41"/>
      <c r="Q69" s="41"/>
      <c r="R69" s="41"/>
      <c r="S69" s="41"/>
      <c r="T69" s="41"/>
      <c r="U69" s="41"/>
      <c r="V69" s="60"/>
      <c r="W69" s="41"/>
      <c r="X69" s="41"/>
      <c r="Y69" s="41"/>
      <c r="Z69" s="41"/>
      <c r="AA69" s="41"/>
      <c r="AB69" s="41"/>
      <c r="AC69" s="41"/>
      <c r="AD69" s="41"/>
      <c r="AE69" s="41"/>
      <c r="AF69" s="41"/>
      <c r="AG69" s="41"/>
      <c r="AH69" s="41"/>
      <c r="AI69" s="41"/>
      <c r="AJ69" s="41"/>
      <c r="AK69" s="41"/>
    </row>
    <row r="70" ht="13.5" customHeight="1">
      <c r="A70" s="8"/>
      <c r="B70" s="41"/>
      <c r="C70" s="41"/>
      <c r="D70" s="41"/>
      <c r="E70" s="41"/>
      <c r="F70" s="41"/>
      <c r="G70" s="41"/>
      <c r="H70" s="41"/>
      <c r="I70" s="41"/>
      <c r="J70" s="41"/>
      <c r="K70" s="41"/>
      <c r="L70" s="41"/>
      <c r="M70" s="41"/>
      <c r="N70" s="41"/>
      <c r="O70" s="41"/>
      <c r="P70" s="41"/>
      <c r="Q70" s="41"/>
      <c r="R70" s="41"/>
      <c r="S70" s="41"/>
      <c r="T70" s="41"/>
      <c r="U70" s="41"/>
      <c r="V70" s="60"/>
      <c r="W70" s="41"/>
      <c r="X70" s="41"/>
      <c r="Y70" s="41"/>
      <c r="Z70" s="41"/>
      <c r="AA70" s="41"/>
      <c r="AB70" s="41"/>
      <c r="AC70" s="41"/>
      <c r="AD70" s="41"/>
      <c r="AE70" s="41"/>
      <c r="AF70" s="41"/>
      <c r="AG70" s="41"/>
      <c r="AH70" s="41"/>
      <c r="AI70" s="41"/>
      <c r="AJ70" s="41"/>
      <c r="AK70" s="41"/>
    </row>
    <row r="71" ht="13.5" customHeight="1">
      <c r="A71" s="8"/>
      <c r="B71" s="41"/>
      <c r="C71" s="41"/>
      <c r="D71" s="41"/>
      <c r="E71" s="41"/>
      <c r="F71" s="41"/>
      <c r="G71" s="41"/>
      <c r="H71" s="41"/>
      <c r="I71" s="41"/>
      <c r="J71" s="41"/>
      <c r="K71" s="41"/>
      <c r="L71" s="41"/>
      <c r="M71" s="41"/>
      <c r="N71" s="41"/>
      <c r="O71" s="41"/>
      <c r="P71" s="41"/>
      <c r="Q71" s="41"/>
      <c r="R71" s="41"/>
      <c r="S71" s="41"/>
      <c r="T71" s="41"/>
      <c r="U71" s="41"/>
      <c r="V71" s="60"/>
      <c r="W71" s="41"/>
      <c r="X71" s="41"/>
      <c r="Y71" s="41"/>
      <c r="Z71" s="41"/>
      <c r="AA71" s="41"/>
      <c r="AB71" s="41"/>
      <c r="AC71" s="41"/>
      <c r="AD71" s="41"/>
      <c r="AE71" s="41"/>
      <c r="AF71" s="41"/>
      <c r="AG71" s="41"/>
      <c r="AH71" s="41"/>
      <c r="AI71" s="41"/>
      <c r="AJ71" s="41"/>
      <c r="AK71" s="41"/>
    </row>
    <row r="72" ht="13.5" customHeight="1">
      <c r="A72" s="8"/>
      <c r="B72" s="41"/>
      <c r="C72" s="41"/>
      <c r="D72" s="41"/>
      <c r="E72" s="41"/>
      <c r="F72" s="41"/>
      <c r="G72" s="41"/>
      <c r="H72" s="41"/>
      <c r="I72" s="41"/>
      <c r="J72" s="41"/>
      <c r="K72" s="41"/>
      <c r="L72" s="41"/>
      <c r="M72" s="41"/>
      <c r="N72" s="41"/>
      <c r="O72" s="41"/>
      <c r="P72" s="41"/>
      <c r="Q72" s="41"/>
      <c r="R72" s="41"/>
      <c r="S72" s="41"/>
      <c r="T72" s="41"/>
      <c r="U72" s="41"/>
      <c r="V72" s="60"/>
      <c r="W72" s="41"/>
      <c r="X72" s="41"/>
      <c r="Y72" s="41"/>
      <c r="Z72" s="41"/>
      <c r="AA72" s="41"/>
      <c r="AB72" s="41"/>
      <c r="AC72" s="41"/>
      <c r="AD72" s="41"/>
      <c r="AE72" s="41"/>
      <c r="AF72" s="41"/>
      <c r="AG72" s="41"/>
      <c r="AH72" s="41"/>
      <c r="AI72" s="41"/>
      <c r="AJ72" s="41"/>
      <c r="AK72" s="41"/>
    </row>
    <row r="73" ht="13.5" customHeight="1">
      <c r="A73" s="8"/>
      <c r="B73" s="41"/>
      <c r="C73" s="41"/>
      <c r="D73" s="41"/>
      <c r="E73" s="41"/>
      <c r="F73" s="41"/>
      <c r="G73" s="41"/>
      <c r="H73" s="41"/>
      <c r="I73" s="41"/>
      <c r="J73" s="41"/>
      <c r="K73" s="41"/>
      <c r="L73" s="41"/>
      <c r="M73" s="41"/>
      <c r="N73" s="41"/>
      <c r="O73" s="41"/>
      <c r="P73" s="41"/>
      <c r="Q73" s="41"/>
      <c r="R73" s="41"/>
      <c r="S73" s="41"/>
      <c r="T73" s="41"/>
      <c r="U73" s="41"/>
      <c r="V73" s="60"/>
      <c r="W73" s="41"/>
      <c r="X73" s="41"/>
      <c r="Y73" s="41"/>
      <c r="Z73" s="41"/>
      <c r="AA73" s="41"/>
      <c r="AB73" s="41"/>
      <c r="AC73" s="41"/>
      <c r="AD73" s="41"/>
      <c r="AE73" s="41"/>
      <c r="AF73" s="41"/>
      <c r="AG73" s="41"/>
      <c r="AH73" s="41"/>
      <c r="AI73" s="41"/>
      <c r="AJ73" s="41"/>
      <c r="AK73" s="41"/>
    </row>
    <row r="74" ht="13.5" customHeight="1">
      <c r="A74" s="8"/>
      <c r="B74" s="41"/>
      <c r="C74" s="41"/>
      <c r="D74" s="41"/>
      <c r="E74" s="41"/>
      <c r="F74" s="41"/>
      <c r="G74" s="41"/>
      <c r="H74" s="41"/>
      <c r="I74" s="41"/>
      <c r="J74" s="41"/>
      <c r="K74" s="41"/>
      <c r="L74" s="41"/>
      <c r="M74" s="41"/>
      <c r="N74" s="41"/>
      <c r="O74" s="41"/>
      <c r="P74" s="41"/>
      <c r="Q74" s="41"/>
      <c r="R74" s="41"/>
      <c r="S74" s="41"/>
      <c r="T74" s="41"/>
      <c r="U74" s="41"/>
      <c r="V74" s="60"/>
      <c r="W74" s="41"/>
      <c r="X74" s="41"/>
      <c r="Y74" s="41"/>
      <c r="Z74" s="41"/>
      <c r="AA74" s="41"/>
      <c r="AB74" s="41"/>
      <c r="AC74" s="41"/>
      <c r="AD74" s="41"/>
      <c r="AE74" s="41"/>
      <c r="AF74" s="41"/>
      <c r="AG74" s="41"/>
      <c r="AH74" s="41"/>
      <c r="AI74" s="41"/>
      <c r="AJ74" s="41"/>
      <c r="AK74" s="41"/>
    </row>
    <row r="75" ht="13.5" customHeight="1">
      <c r="A75" s="8"/>
      <c r="B75" s="41"/>
      <c r="C75" s="41"/>
      <c r="D75" s="41"/>
      <c r="E75" s="41"/>
      <c r="F75" s="41"/>
      <c r="G75" s="41"/>
      <c r="H75" s="41"/>
      <c r="I75" s="41"/>
      <c r="J75" s="41"/>
      <c r="K75" s="41"/>
      <c r="L75" s="41"/>
      <c r="M75" s="41"/>
      <c r="N75" s="41"/>
      <c r="O75" s="41"/>
      <c r="P75" s="41"/>
      <c r="Q75" s="41"/>
      <c r="R75" s="41"/>
      <c r="S75" s="41"/>
      <c r="T75" s="41"/>
      <c r="U75" s="41"/>
      <c r="V75" s="60"/>
      <c r="W75" s="41"/>
      <c r="X75" s="41"/>
      <c r="Y75" s="41"/>
      <c r="Z75" s="41"/>
      <c r="AA75" s="41"/>
      <c r="AB75" s="41"/>
      <c r="AC75" s="41"/>
      <c r="AD75" s="41"/>
      <c r="AE75" s="41"/>
      <c r="AF75" s="41"/>
      <c r="AG75" s="41"/>
      <c r="AH75" s="41"/>
      <c r="AI75" s="41"/>
      <c r="AJ75" s="41"/>
      <c r="AK75" s="41"/>
    </row>
    <row r="76" ht="13.5" customHeight="1">
      <c r="A76" s="8"/>
      <c r="B76" s="41"/>
      <c r="C76" s="41"/>
      <c r="D76" s="41"/>
      <c r="E76" s="41"/>
      <c r="F76" s="41"/>
      <c r="G76" s="41"/>
      <c r="H76" s="41"/>
      <c r="I76" s="41"/>
      <c r="J76" s="41"/>
      <c r="K76" s="41"/>
      <c r="L76" s="41"/>
      <c r="M76" s="41"/>
      <c r="N76" s="41"/>
      <c r="O76" s="41"/>
      <c r="P76" s="41"/>
      <c r="Q76" s="41"/>
      <c r="R76" s="41"/>
      <c r="S76" s="41"/>
      <c r="T76" s="41"/>
      <c r="U76" s="41"/>
      <c r="V76" s="60"/>
      <c r="W76" s="41"/>
      <c r="X76" s="41"/>
      <c r="Y76" s="41"/>
      <c r="Z76" s="41"/>
      <c r="AA76" s="41"/>
      <c r="AB76" s="41"/>
      <c r="AC76" s="41"/>
      <c r="AD76" s="41"/>
      <c r="AE76" s="41"/>
      <c r="AF76" s="41"/>
      <c r="AG76" s="41"/>
      <c r="AH76" s="41"/>
      <c r="AI76" s="41"/>
      <c r="AJ76" s="41"/>
      <c r="AK76" s="41"/>
    </row>
    <row r="77" ht="13.5" customHeight="1">
      <c r="A77" s="8"/>
      <c r="B77" s="41"/>
      <c r="C77" s="41"/>
      <c r="D77" s="41"/>
      <c r="E77" s="41"/>
      <c r="F77" s="41"/>
      <c r="G77" s="41"/>
      <c r="H77" s="41"/>
      <c r="I77" s="41"/>
      <c r="J77" s="41"/>
      <c r="K77" s="41"/>
      <c r="L77" s="41"/>
      <c r="M77" s="41"/>
      <c r="N77" s="41"/>
      <c r="O77" s="41"/>
      <c r="P77" s="41"/>
      <c r="Q77" s="41"/>
      <c r="R77" s="41"/>
      <c r="S77" s="41"/>
      <c r="T77" s="41"/>
      <c r="U77" s="41"/>
      <c r="V77" s="60"/>
      <c r="W77" s="41"/>
      <c r="X77" s="41"/>
      <c r="Y77" s="41"/>
      <c r="Z77" s="41"/>
      <c r="AA77" s="41"/>
      <c r="AB77" s="41"/>
      <c r="AC77" s="41"/>
      <c r="AD77" s="41"/>
      <c r="AE77" s="41"/>
      <c r="AF77" s="41"/>
      <c r="AG77" s="41"/>
      <c r="AH77" s="41"/>
      <c r="AI77" s="41"/>
      <c r="AJ77" s="41"/>
      <c r="AK77" s="41"/>
    </row>
    <row r="78" ht="13.5" customHeight="1">
      <c r="A78" s="8"/>
      <c r="B78" s="41"/>
      <c r="C78" s="41"/>
      <c r="D78" s="41"/>
      <c r="E78" s="41"/>
      <c r="F78" s="41"/>
      <c r="G78" s="41"/>
      <c r="H78" s="41"/>
      <c r="I78" s="41"/>
      <c r="J78" s="41"/>
      <c r="K78" s="41"/>
      <c r="L78" s="41"/>
      <c r="M78" s="41"/>
      <c r="N78" s="41"/>
      <c r="O78" s="41"/>
      <c r="P78" s="41"/>
      <c r="Q78" s="41"/>
      <c r="R78" s="41"/>
      <c r="S78" s="41"/>
      <c r="T78" s="41"/>
      <c r="U78" s="41"/>
      <c r="V78" s="60"/>
      <c r="W78" s="41"/>
      <c r="X78" s="41"/>
      <c r="Y78" s="41"/>
      <c r="Z78" s="41"/>
      <c r="AA78" s="41"/>
      <c r="AB78" s="41"/>
      <c r="AC78" s="41"/>
      <c r="AD78" s="41"/>
      <c r="AE78" s="41"/>
      <c r="AF78" s="41"/>
      <c r="AG78" s="41"/>
      <c r="AH78" s="41"/>
      <c r="AI78" s="41"/>
      <c r="AJ78" s="41"/>
      <c r="AK78" s="41"/>
    </row>
    <row r="79" ht="13.5" customHeight="1">
      <c r="A79" s="8"/>
      <c r="B79" s="41"/>
      <c r="C79" s="41"/>
      <c r="D79" s="41"/>
      <c r="E79" s="41"/>
      <c r="F79" s="41"/>
      <c r="G79" s="41"/>
      <c r="H79" s="41"/>
      <c r="I79" s="41"/>
      <c r="J79" s="41"/>
      <c r="K79" s="41"/>
      <c r="L79" s="41"/>
      <c r="M79" s="41"/>
      <c r="N79" s="41"/>
      <c r="O79" s="41"/>
      <c r="P79" s="41"/>
      <c r="Q79" s="41"/>
      <c r="R79" s="41"/>
      <c r="S79" s="41"/>
      <c r="T79" s="41"/>
      <c r="U79" s="41"/>
      <c r="V79" s="60"/>
      <c r="W79" s="41"/>
      <c r="X79" s="41"/>
      <c r="Y79" s="41"/>
      <c r="Z79" s="41"/>
      <c r="AA79" s="41"/>
      <c r="AB79" s="41"/>
      <c r="AC79" s="41"/>
      <c r="AD79" s="41"/>
      <c r="AE79" s="41"/>
      <c r="AF79" s="41"/>
      <c r="AG79" s="41"/>
      <c r="AH79" s="41"/>
      <c r="AI79" s="41"/>
      <c r="AJ79" s="41"/>
      <c r="AK79" s="41"/>
    </row>
    <row r="80" ht="13.5" customHeight="1">
      <c r="A80" s="8"/>
      <c r="B80" s="41"/>
      <c r="C80" s="41"/>
      <c r="D80" s="41"/>
      <c r="E80" s="41"/>
      <c r="F80" s="41"/>
      <c r="G80" s="41"/>
      <c r="H80" s="41"/>
      <c r="I80" s="41"/>
      <c r="J80" s="41"/>
      <c r="K80" s="41"/>
      <c r="L80" s="41"/>
      <c r="M80" s="41"/>
      <c r="N80" s="41"/>
      <c r="O80" s="41"/>
      <c r="P80" s="41"/>
      <c r="Q80" s="41"/>
      <c r="R80" s="41"/>
      <c r="S80" s="41"/>
      <c r="T80" s="41"/>
      <c r="U80" s="41"/>
      <c r="V80" s="60"/>
      <c r="W80" s="41"/>
      <c r="X80" s="41"/>
      <c r="Y80" s="41"/>
      <c r="Z80" s="41"/>
      <c r="AA80" s="41"/>
      <c r="AB80" s="41"/>
      <c r="AC80" s="41"/>
      <c r="AD80" s="41"/>
      <c r="AE80" s="41"/>
      <c r="AF80" s="41"/>
      <c r="AG80" s="41"/>
      <c r="AH80" s="41"/>
      <c r="AI80" s="41"/>
      <c r="AJ80" s="41"/>
      <c r="AK80" s="41"/>
    </row>
    <row r="81" ht="13.5" customHeight="1">
      <c r="A81" s="8"/>
      <c r="B81" s="41"/>
      <c r="C81" s="41"/>
      <c r="D81" s="41"/>
      <c r="E81" s="41"/>
      <c r="F81" s="41"/>
      <c r="G81" s="41"/>
      <c r="H81" s="41"/>
      <c r="I81" s="41"/>
      <c r="J81" s="41"/>
      <c r="K81" s="41"/>
      <c r="L81" s="41"/>
      <c r="M81" s="41"/>
      <c r="N81" s="41"/>
      <c r="O81" s="41"/>
      <c r="P81" s="41"/>
      <c r="Q81" s="41"/>
      <c r="R81" s="41"/>
      <c r="S81" s="41"/>
      <c r="T81" s="41"/>
      <c r="U81" s="41"/>
      <c r="V81" s="60"/>
      <c r="W81" s="41"/>
      <c r="X81" s="41"/>
      <c r="Y81" s="41"/>
      <c r="Z81" s="41"/>
      <c r="AA81" s="41"/>
      <c r="AB81" s="41"/>
      <c r="AC81" s="41"/>
      <c r="AD81" s="41"/>
      <c r="AE81" s="41"/>
      <c r="AF81" s="41"/>
      <c r="AG81" s="41"/>
      <c r="AH81" s="41"/>
      <c r="AI81" s="41"/>
      <c r="AJ81" s="41"/>
      <c r="AK81" s="41"/>
    </row>
    <row r="82" ht="13.5" customHeight="1">
      <c r="A82" s="8"/>
      <c r="B82" s="41"/>
      <c r="C82" s="41"/>
      <c r="D82" s="41"/>
      <c r="E82" s="41"/>
      <c r="F82" s="41"/>
      <c r="G82" s="41"/>
      <c r="H82" s="41"/>
      <c r="I82" s="41"/>
      <c r="J82" s="41"/>
      <c r="K82" s="41"/>
      <c r="L82" s="41"/>
      <c r="M82" s="41"/>
      <c r="N82" s="41"/>
      <c r="O82" s="41"/>
      <c r="P82" s="41"/>
      <c r="Q82" s="41"/>
      <c r="R82" s="41"/>
      <c r="S82" s="41"/>
      <c r="T82" s="41"/>
      <c r="U82" s="41"/>
      <c r="V82" s="60"/>
      <c r="W82" s="41"/>
      <c r="X82" s="41"/>
      <c r="Y82" s="41"/>
      <c r="Z82" s="41"/>
      <c r="AA82" s="41"/>
      <c r="AB82" s="41"/>
      <c r="AC82" s="41"/>
      <c r="AD82" s="41"/>
      <c r="AE82" s="41"/>
      <c r="AF82" s="41"/>
      <c r="AG82" s="41"/>
      <c r="AH82" s="41"/>
      <c r="AI82" s="41"/>
      <c r="AJ82" s="41"/>
      <c r="AK82" s="41"/>
    </row>
    <row r="83" ht="13.5" customHeight="1">
      <c r="A83" s="8"/>
      <c r="B83" s="41"/>
      <c r="C83" s="41"/>
      <c r="D83" s="41"/>
      <c r="E83" s="41"/>
      <c r="F83" s="41"/>
      <c r="G83" s="41"/>
      <c r="H83" s="41"/>
      <c r="I83" s="41"/>
      <c r="J83" s="41"/>
      <c r="K83" s="41"/>
      <c r="L83" s="41"/>
      <c r="M83" s="41"/>
      <c r="N83" s="41"/>
      <c r="O83" s="41"/>
      <c r="P83" s="41"/>
      <c r="Q83" s="41"/>
      <c r="R83" s="41"/>
      <c r="S83" s="41"/>
      <c r="T83" s="41"/>
      <c r="U83" s="41"/>
      <c r="V83" s="60"/>
      <c r="W83" s="41"/>
      <c r="X83" s="41"/>
      <c r="Y83" s="41"/>
      <c r="Z83" s="41"/>
      <c r="AA83" s="41"/>
      <c r="AB83" s="41"/>
      <c r="AC83" s="41"/>
      <c r="AD83" s="41"/>
      <c r="AE83" s="41"/>
      <c r="AF83" s="41"/>
      <c r="AG83" s="41"/>
      <c r="AH83" s="41"/>
      <c r="AI83" s="41"/>
      <c r="AJ83" s="41"/>
      <c r="AK83" s="41"/>
    </row>
    <row r="84" ht="13.5" customHeight="1">
      <c r="A84" s="8"/>
      <c r="B84" s="41"/>
      <c r="C84" s="41"/>
      <c r="D84" s="41"/>
      <c r="E84" s="41"/>
      <c r="F84" s="41"/>
      <c r="G84" s="41"/>
      <c r="H84" s="41"/>
      <c r="I84" s="41"/>
      <c r="J84" s="41"/>
      <c r="K84" s="41"/>
      <c r="L84" s="41"/>
      <c r="M84" s="41"/>
      <c r="N84" s="41"/>
      <c r="O84" s="41"/>
      <c r="P84" s="41"/>
      <c r="Q84" s="41"/>
      <c r="R84" s="41"/>
      <c r="S84" s="41"/>
      <c r="T84" s="41"/>
      <c r="U84" s="41"/>
      <c r="V84" s="60"/>
      <c r="W84" s="41"/>
      <c r="X84" s="41"/>
      <c r="Y84" s="41"/>
      <c r="Z84" s="41"/>
      <c r="AA84" s="41"/>
      <c r="AB84" s="41"/>
      <c r="AC84" s="41"/>
      <c r="AD84" s="41"/>
      <c r="AE84" s="41"/>
      <c r="AF84" s="41"/>
      <c r="AG84" s="41"/>
      <c r="AH84" s="41"/>
      <c r="AI84" s="41"/>
      <c r="AJ84" s="41"/>
      <c r="AK84" s="41"/>
    </row>
    <row r="85" ht="13.5" customHeight="1">
      <c r="A85" s="8"/>
      <c r="B85" s="41"/>
      <c r="C85" s="41"/>
      <c r="D85" s="41"/>
      <c r="E85" s="41"/>
      <c r="F85" s="41"/>
      <c r="G85" s="41"/>
      <c r="H85" s="41"/>
      <c r="I85" s="41"/>
      <c r="J85" s="41"/>
      <c r="K85" s="41"/>
      <c r="L85" s="41"/>
      <c r="M85" s="41"/>
      <c r="N85" s="41"/>
      <c r="O85" s="41"/>
      <c r="P85" s="41"/>
      <c r="Q85" s="41"/>
      <c r="R85" s="41"/>
      <c r="S85" s="41"/>
      <c r="T85" s="41"/>
      <c r="U85" s="41"/>
      <c r="V85" s="60"/>
      <c r="W85" s="41"/>
      <c r="X85" s="41"/>
      <c r="Y85" s="41"/>
      <c r="Z85" s="41"/>
      <c r="AA85" s="41"/>
      <c r="AB85" s="41"/>
      <c r="AC85" s="41"/>
      <c r="AD85" s="41"/>
      <c r="AE85" s="41"/>
      <c r="AF85" s="41"/>
      <c r="AG85" s="41"/>
      <c r="AH85" s="41"/>
      <c r="AI85" s="41"/>
      <c r="AJ85" s="41"/>
      <c r="AK85" s="41"/>
    </row>
    <row r="86" ht="13.5" customHeight="1">
      <c r="A86" s="8"/>
      <c r="B86" s="41"/>
      <c r="C86" s="41"/>
      <c r="D86" s="41"/>
      <c r="E86" s="41"/>
      <c r="F86" s="41"/>
      <c r="G86" s="41"/>
      <c r="H86" s="41"/>
      <c r="I86" s="41"/>
      <c r="J86" s="41"/>
      <c r="K86" s="41"/>
      <c r="L86" s="41"/>
      <c r="M86" s="41"/>
      <c r="N86" s="41"/>
      <c r="O86" s="41"/>
      <c r="P86" s="41"/>
      <c r="Q86" s="41"/>
      <c r="R86" s="41"/>
      <c r="S86" s="41"/>
      <c r="T86" s="41"/>
      <c r="U86" s="41"/>
      <c r="V86" s="60"/>
      <c r="W86" s="41"/>
      <c r="X86" s="41"/>
      <c r="Y86" s="41"/>
      <c r="Z86" s="41"/>
      <c r="AA86" s="41"/>
      <c r="AB86" s="41"/>
      <c r="AC86" s="41"/>
      <c r="AD86" s="41"/>
      <c r="AE86" s="41"/>
      <c r="AF86" s="41"/>
      <c r="AG86" s="41"/>
      <c r="AH86" s="41"/>
      <c r="AI86" s="41"/>
      <c r="AJ86" s="41"/>
      <c r="AK86" s="41"/>
    </row>
    <row r="87" ht="13.5" customHeight="1">
      <c r="A87" s="8"/>
      <c r="B87" s="41"/>
      <c r="C87" s="41"/>
      <c r="D87" s="41"/>
      <c r="E87" s="41"/>
      <c r="F87" s="41"/>
      <c r="G87" s="41"/>
      <c r="H87" s="41"/>
      <c r="I87" s="41"/>
      <c r="J87" s="41"/>
      <c r="K87" s="41"/>
      <c r="L87" s="41"/>
      <c r="M87" s="41"/>
      <c r="N87" s="41"/>
      <c r="O87" s="41"/>
      <c r="P87" s="41"/>
      <c r="Q87" s="41"/>
      <c r="R87" s="41"/>
      <c r="S87" s="41"/>
      <c r="T87" s="41"/>
      <c r="U87" s="41"/>
      <c r="V87" s="60"/>
      <c r="W87" s="41"/>
      <c r="X87" s="41"/>
      <c r="Y87" s="41"/>
      <c r="Z87" s="41"/>
      <c r="AA87" s="41"/>
      <c r="AB87" s="41"/>
      <c r="AC87" s="41"/>
      <c r="AD87" s="41"/>
      <c r="AE87" s="41"/>
      <c r="AF87" s="41"/>
      <c r="AG87" s="41"/>
      <c r="AH87" s="41"/>
      <c r="AI87" s="41"/>
      <c r="AJ87" s="41"/>
      <c r="AK87" s="41"/>
    </row>
    <row r="88" ht="13.5" customHeight="1">
      <c r="A88" s="8"/>
      <c r="B88" s="41"/>
      <c r="C88" s="41"/>
      <c r="D88" s="41"/>
      <c r="E88" s="41"/>
      <c r="F88" s="41"/>
      <c r="G88" s="41"/>
      <c r="H88" s="41"/>
      <c r="I88" s="41"/>
      <c r="J88" s="41"/>
      <c r="K88" s="41"/>
      <c r="L88" s="41"/>
      <c r="M88" s="41"/>
      <c r="N88" s="41"/>
      <c r="O88" s="41"/>
      <c r="P88" s="41"/>
      <c r="Q88" s="41"/>
      <c r="R88" s="41"/>
      <c r="S88" s="41"/>
      <c r="T88" s="41"/>
      <c r="U88" s="41"/>
      <c r="V88" s="60"/>
      <c r="W88" s="41"/>
      <c r="X88" s="41"/>
      <c r="Y88" s="41"/>
      <c r="Z88" s="41"/>
      <c r="AA88" s="41"/>
      <c r="AB88" s="41"/>
      <c r="AC88" s="41"/>
      <c r="AD88" s="41"/>
      <c r="AE88" s="41"/>
      <c r="AF88" s="41"/>
      <c r="AG88" s="41"/>
      <c r="AH88" s="41"/>
      <c r="AI88" s="41"/>
      <c r="AJ88" s="41"/>
      <c r="AK88" s="41"/>
    </row>
    <row r="89" ht="13.5" customHeight="1">
      <c r="A89" s="8"/>
      <c r="B89" s="41"/>
      <c r="C89" s="41"/>
      <c r="D89" s="41"/>
      <c r="E89" s="41"/>
      <c r="F89" s="41"/>
      <c r="G89" s="41"/>
      <c r="H89" s="41"/>
      <c r="I89" s="41"/>
      <c r="J89" s="41"/>
      <c r="K89" s="41"/>
      <c r="L89" s="41"/>
      <c r="M89" s="41"/>
      <c r="N89" s="41"/>
      <c r="O89" s="41"/>
      <c r="P89" s="41"/>
      <c r="Q89" s="41"/>
      <c r="R89" s="41"/>
      <c r="S89" s="41"/>
      <c r="T89" s="41"/>
      <c r="U89" s="41"/>
      <c r="V89" s="60"/>
      <c r="W89" s="41"/>
      <c r="X89" s="41"/>
      <c r="Y89" s="41"/>
      <c r="Z89" s="41"/>
      <c r="AA89" s="41"/>
      <c r="AB89" s="41"/>
      <c r="AC89" s="41"/>
      <c r="AD89" s="41"/>
      <c r="AE89" s="41"/>
      <c r="AF89" s="41"/>
      <c r="AG89" s="41"/>
      <c r="AH89" s="41"/>
      <c r="AI89" s="41"/>
      <c r="AJ89" s="41"/>
      <c r="AK89" s="41"/>
    </row>
    <row r="90" ht="13.5" customHeight="1">
      <c r="A90" s="8"/>
      <c r="B90" s="41"/>
      <c r="C90" s="41"/>
      <c r="D90" s="41"/>
      <c r="E90" s="41"/>
      <c r="F90" s="41"/>
      <c r="G90" s="41"/>
      <c r="H90" s="41"/>
      <c r="I90" s="41"/>
      <c r="J90" s="41"/>
      <c r="K90" s="41"/>
      <c r="L90" s="41"/>
      <c r="M90" s="41"/>
      <c r="N90" s="41"/>
      <c r="O90" s="41"/>
      <c r="P90" s="41"/>
      <c r="Q90" s="41"/>
      <c r="R90" s="41"/>
      <c r="S90" s="41"/>
      <c r="T90" s="41"/>
      <c r="U90" s="41"/>
      <c r="V90" s="60"/>
      <c r="W90" s="41"/>
      <c r="X90" s="41"/>
      <c r="Y90" s="41"/>
      <c r="Z90" s="41"/>
      <c r="AA90" s="41"/>
      <c r="AB90" s="41"/>
      <c r="AC90" s="41"/>
      <c r="AD90" s="41"/>
      <c r="AE90" s="41"/>
      <c r="AF90" s="41"/>
      <c r="AG90" s="41"/>
      <c r="AH90" s="41"/>
      <c r="AI90" s="41"/>
      <c r="AJ90" s="41"/>
      <c r="AK90" s="41"/>
    </row>
    <row r="91" ht="13.5" customHeight="1">
      <c r="A91" s="8"/>
      <c r="B91" s="41"/>
      <c r="C91" s="41"/>
      <c r="D91" s="41"/>
      <c r="E91" s="41"/>
      <c r="F91" s="41"/>
      <c r="G91" s="41"/>
      <c r="H91" s="41"/>
      <c r="I91" s="41"/>
      <c r="J91" s="41"/>
      <c r="K91" s="41"/>
      <c r="L91" s="41"/>
      <c r="M91" s="41"/>
      <c r="N91" s="41"/>
      <c r="O91" s="41"/>
      <c r="P91" s="41"/>
      <c r="Q91" s="41"/>
      <c r="R91" s="41"/>
      <c r="S91" s="41"/>
      <c r="T91" s="41"/>
      <c r="U91" s="41"/>
      <c r="V91" s="60"/>
      <c r="W91" s="41"/>
      <c r="X91" s="41"/>
      <c r="Y91" s="41"/>
      <c r="Z91" s="41"/>
      <c r="AA91" s="41"/>
      <c r="AB91" s="41"/>
      <c r="AC91" s="41"/>
      <c r="AD91" s="41"/>
      <c r="AE91" s="41"/>
      <c r="AF91" s="41"/>
      <c r="AG91" s="41"/>
      <c r="AH91" s="41"/>
      <c r="AI91" s="41"/>
      <c r="AJ91" s="41"/>
      <c r="AK91" s="41"/>
    </row>
    <row r="92" ht="13.5" customHeight="1">
      <c r="A92" s="8"/>
      <c r="B92" s="41"/>
      <c r="C92" s="41"/>
      <c r="D92" s="41"/>
      <c r="E92" s="41"/>
      <c r="F92" s="41"/>
      <c r="G92" s="41"/>
      <c r="H92" s="41"/>
      <c r="I92" s="41"/>
      <c r="J92" s="41"/>
      <c r="K92" s="41"/>
      <c r="L92" s="41"/>
      <c r="M92" s="41"/>
      <c r="N92" s="41"/>
      <c r="O92" s="41"/>
      <c r="P92" s="41"/>
      <c r="Q92" s="41"/>
      <c r="R92" s="41"/>
      <c r="S92" s="41"/>
      <c r="T92" s="41"/>
      <c r="U92" s="41"/>
      <c r="V92" s="60"/>
      <c r="W92" s="41"/>
      <c r="X92" s="41"/>
      <c r="Y92" s="41"/>
      <c r="Z92" s="41"/>
      <c r="AA92" s="41"/>
      <c r="AB92" s="41"/>
      <c r="AC92" s="41"/>
      <c r="AD92" s="41"/>
      <c r="AE92" s="41"/>
      <c r="AF92" s="41"/>
      <c r="AG92" s="41"/>
      <c r="AH92" s="41"/>
      <c r="AI92" s="41"/>
      <c r="AJ92" s="41"/>
      <c r="AK92" s="41"/>
    </row>
    <row r="93" ht="13.5" customHeight="1">
      <c r="A93" s="8"/>
      <c r="B93" s="41"/>
      <c r="C93" s="41"/>
      <c r="D93" s="41"/>
      <c r="E93" s="41"/>
      <c r="F93" s="41"/>
      <c r="G93" s="41"/>
      <c r="H93" s="41"/>
      <c r="I93" s="41"/>
      <c r="J93" s="41"/>
      <c r="K93" s="41"/>
      <c r="L93" s="41"/>
      <c r="M93" s="41"/>
      <c r="N93" s="41"/>
      <c r="O93" s="41"/>
      <c r="P93" s="41"/>
      <c r="Q93" s="41"/>
      <c r="R93" s="41"/>
      <c r="S93" s="41"/>
      <c r="T93" s="41"/>
      <c r="U93" s="41"/>
      <c r="V93" s="60"/>
      <c r="W93" s="41"/>
      <c r="X93" s="41"/>
      <c r="Y93" s="41"/>
      <c r="Z93" s="41"/>
      <c r="AA93" s="41"/>
      <c r="AB93" s="41"/>
      <c r="AC93" s="41"/>
      <c r="AD93" s="41"/>
      <c r="AE93" s="41"/>
      <c r="AF93" s="41"/>
      <c r="AG93" s="41"/>
      <c r="AH93" s="41"/>
      <c r="AI93" s="41"/>
      <c r="AJ93" s="41"/>
      <c r="AK93" s="41"/>
    </row>
    <row r="94" ht="13.5" customHeight="1">
      <c r="A94" s="8"/>
      <c r="B94" s="41"/>
      <c r="C94" s="41"/>
      <c r="D94" s="41"/>
      <c r="E94" s="41"/>
      <c r="F94" s="41"/>
      <c r="G94" s="41"/>
      <c r="H94" s="41"/>
      <c r="I94" s="41"/>
      <c r="J94" s="41"/>
      <c r="K94" s="41"/>
      <c r="L94" s="41"/>
      <c r="M94" s="41"/>
      <c r="N94" s="41"/>
      <c r="O94" s="41"/>
      <c r="P94" s="41"/>
      <c r="Q94" s="41"/>
      <c r="R94" s="41"/>
      <c r="S94" s="41"/>
      <c r="T94" s="41"/>
      <c r="U94" s="41"/>
      <c r="V94" s="60"/>
      <c r="W94" s="41"/>
      <c r="X94" s="41"/>
      <c r="Y94" s="41"/>
      <c r="Z94" s="41"/>
      <c r="AA94" s="41"/>
      <c r="AB94" s="41"/>
      <c r="AC94" s="41"/>
      <c r="AD94" s="41"/>
      <c r="AE94" s="41"/>
      <c r="AF94" s="41"/>
      <c r="AG94" s="41"/>
      <c r="AH94" s="41"/>
      <c r="AI94" s="41"/>
      <c r="AJ94" s="41"/>
      <c r="AK94" s="41"/>
    </row>
    <row r="95" ht="13.5" customHeight="1">
      <c r="A95" s="8"/>
      <c r="B95" s="41"/>
      <c r="C95" s="41"/>
      <c r="D95" s="41"/>
      <c r="E95" s="41"/>
      <c r="F95" s="41"/>
      <c r="G95" s="41"/>
      <c r="H95" s="41"/>
      <c r="I95" s="41"/>
      <c r="J95" s="41"/>
      <c r="K95" s="41"/>
      <c r="L95" s="41"/>
      <c r="M95" s="41"/>
      <c r="N95" s="41"/>
      <c r="O95" s="41"/>
      <c r="P95" s="41"/>
      <c r="Q95" s="41"/>
      <c r="R95" s="41"/>
      <c r="S95" s="41"/>
      <c r="T95" s="41"/>
      <c r="U95" s="41"/>
      <c r="V95" s="60"/>
      <c r="W95" s="41"/>
      <c r="X95" s="41"/>
      <c r="Y95" s="41"/>
      <c r="Z95" s="41"/>
      <c r="AA95" s="41"/>
      <c r="AB95" s="41"/>
      <c r="AC95" s="41"/>
      <c r="AD95" s="41"/>
      <c r="AE95" s="41"/>
      <c r="AF95" s="41"/>
      <c r="AG95" s="41"/>
      <c r="AH95" s="41"/>
      <c r="AI95" s="41"/>
      <c r="AJ95" s="41"/>
      <c r="AK95" s="41"/>
    </row>
    <row r="96" ht="13.5" customHeight="1">
      <c r="A96" s="8"/>
      <c r="B96" s="41"/>
      <c r="C96" s="41"/>
      <c r="D96" s="41"/>
      <c r="E96" s="41"/>
      <c r="F96" s="41"/>
      <c r="G96" s="41"/>
      <c r="H96" s="41"/>
      <c r="I96" s="41"/>
      <c r="J96" s="41"/>
      <c r="K96" s="41"/>
      <c r="L96" s="41"/>
      <c r="M96" s="41"/>
      <c r="N96" s="41"/>
      <c r="O96" s="41"/>
      <c r="P96" s="41"/>
      <c r="Q96" s="41"/>
      <c r="R96" s="41"/>
      <c r="S96" s="41"/>
      <c r="T96" s="41"/>
      <c r="U96" s="41"/>
      <c r="V96" s="60"/>
      <c r="W96" s="41"/>
      <c r="X96" s="41"/>
      <c r="Y96" s="41"/>
      <c r="Z96" s="41"/>
      <c r="AA96" s="41"/>
      <c r="AB96" s="41"/>
      <c r="AC96" s="41"/>
      <c r="AD96" s="41"/>
      <c r="AE96" s="41"/>
      <c r="AF96" s="41"/>
      <c r="AG96" s="41"/>
      <c r="AH96" s="41"/>
      <c r="AI96" s="41"/>
      <c r="AJ96" s="41"/>
      <c r="AK96" s="41"/>
    </row>
    <row r="97" ht="13.5" customHeight="1">
      <c r="A97" s="8"/>
      <c r="B97" s="41"/>
      <c r="C97" s="41"/>
      <c r="D97" s="41"/>
      <c r="E97" s="41"/>
      <c r="F97" s="41"/>
      <c r="G97" s="41"/>
      <c r="H97" s="41"/>
      <c r="I97" s="41"/>
      <c r="J97" s="41"/>
      <c r="K97" s="41"/>
      <c r="L97" s="41"/>
      <c r="M97" s="41"/>
      <c r="N97" s="41"/>
      <c r="O97" s="41"/>
      <c r="P97" s="41"/>
      <c r="Q97" s="41"/>
      <c r="R97" s="41"/>
      <c r="S97" s="41"/>
      <c r="T97" s="41"/>
      <c r="U97" s="41"/>
      <c r="V97" s="60"/>
      <c r="W97" s="41"/>
      <c r="X97" s="41"/>
      <c r="Y97" s="41"/>
      <c r="Z97" s="41"/>
      <c r="AA97" s="41"/>
      <c r="AB97" s="41"/>
      <c r="AC97" s="41"/>
      <c r="AD97" s="41"/>
      <c r="AE97" s="41"/>
      <c r="AF97" s="41"/>
      <c r="AG97" s="41"/>
      <c r="AH97" s="41"/>
      <c r="AI97" s="41"/>
      <c r="AJ97" s="41"/>
      <c r="AK97" s="41"/>
    </row>
    <row r="98" ht="13.5" customHeight="1">
      <c r="A98" s="8"/>
      <c r="B98" s="41"/>
      <c r="C98" s="41"/>
      <c r="D98" s="41"/>
      <c r="E98" s="41"/>
      <c r="F98" s="41"/>
      <c r="G98" s="41"/>
      <c r="H98" s="41"/>
      <c r="I98" s="41"/>
      <c r="J98" s="41"/>
      <c r="K98" s="41"/>
      <c r="L98" s="41"/>
      <c r="M98" s="41"/>
      <c r="N98" s="41"/>
      <c r="O98" s="41"/>
      <c r="P98" s="41"/>
      <c r="Q98" s="41"/>
      <c r="R98" s="41"/>
      <c r="S98" s="41"/>
      <c r="T98" s="41"/>
      <c r="U98" s="41"/>
      <c r="V98" s="60"/>
      <c r="W98" s="41"/>
      <c r="X98" s="41"/>
      <c r="Y98" s="41"/>
      <c r="Z98" s="41"/>
      <c r="AA98" s="41"/>
      <c r="AB98" s="41"/>
      <c r="AC98" s="41"/>
      <c r="AD98" s="41"/>
      <c r="AE98" s="41"/>
      <c r="AF98" s="41"/>
      <c r="AG98" s="41"/>
      <c r="AH98" s="41"/>
      <c r="AI98" s="41"/>
      <c r="AJ98" s="41"/>
      <c r="AK98" s="41"/>
    </row>
    <row r="99" ht="13.5" customHeight="1">
      <c r="A99" s="8"/>
      <c r="B99" s="41"/>
      <c r="C99" s="41"/>
      <c r="D99" s="41"/>
      <c r="E99" s="41"/>
      <c r="F99" s="41"/>
      <c r="G99" s="41"/>
      <c r="H99" s="41"/>
      <c r="I99" s="41"/>
      <c r="J99" s="41"/>
      <c r="K99" s="41"/>
      <c r="L99" s="41"/>
      <c r="M99" s="41"/>
      <c r="N99" s="41"/>
      <c r="O99" s="41"/>
      <c r="P99" s="41"/>
      <c r="Q99" s="41"/>
      <c r="R99" s="41"/>
      <c r="S99" s="41"/>
      <c r="T99" s="41"/>
      <c r="U99" s="41"/>
      <c r="V99" s="60"/>
      <c r="W99" s="41"/>
      <c r="X99" s="41"/>
      <c r="Y99" s="41"/>
      <c r="Z99" s="41"/>
      <c r="AA99" s="41"/>
      <c r="AB99" s="41"/>
      <c r="AC99" s="41"/>
      <c r="AD99" s="41"/>
      <c r="AE99" s="41"/>
      <c r="AF99" s="41"/>
      <c r="AG99" s="41"/>
      <c r="AH99" s="41"/>
      <c r="AI99" s="41"/>
      <c r="AJ99" s="41"/>
      <c r="AK99" s="41"/>
    </row>
    <row r="100" ht="13.5" customHeight="1">
      <c r="A100" s="8"/>
      <c r="B100" s="41"/>
      <c r="C100" s="41"/>
      <c r="D100" s="41"/>
      <c r="E100" s="41"/>
      <c r="F100" s="41"/>
      <c r="G100" s="41"/>
      <c r="H100" s="41"/>
      <c r="I100" s="41"/>
      <c r="J100" s="41"/>
      <c r="K100" s="41"/>
      <c r="L100" s="41"/>
      <c r="M100" s="41"/>
      <c r="N100" s="41"/>
      <c r="O100" s="41"/>
      <c r="P100" s="41"/>
      <c r="Q100" s="41"/>
      <c r="R100" s="41"/>
      <c r="S100" s="41"/>
      <c r="T100" s="41"/>
      <c r="U100" s="41"/>
      <c r="V100" s="60"/>
      <c r="W100" s="41"/>
      <c r="X100" s="41"/>
      <c r="Y100" s="41"/>
      <c r="Z100" s="41"/>
      <c r="AA100" s="41"/>
      <c r="AB100" s="41"/>
      <c r="AC100" s="41"/>
      <c r="AD100" s="41"/>
      <c r="AE100" s="41"/>
      <c r="AF100" s="41"/>
      <c r="AG100" s="41"/>
      <c r="AH100" s="41"/>
      <c r="AI100" s="41"/>
      <c r="AJ100" s="41"/>
      <c r="AK100" s="41"/>
    </row>
    <row r="101" ht="13.5" customHeight="1">
      <c r="A101" s="8"/>
      <c r="B101" s="41"/>
      <c r="C101" s="41"/>
      <c r="D101" s="41"/>
      <c r="E101" s="41"/>
      <c r="F101" s="41"/>
      <c r="G101" s="41"/>
      <c r="H101" s="41"/>
      <c r="I101" s="41"/>
      <c r="J101" s="41"/>
      <c r="K101" s="41"/>
      <c r="L101" s="41"/>
      <c r="M101" s="41"/>
      <c r="N101" s="41"/>
      <c r="O101" s="41"/>
      <c r="P101" s="41"/>
      <c r="Q101" s="41"/>
      <c r="R101" s="41"/>
      <c r="S101" s="41"/>
      <c r="T101" s="41"/>
      <c r="U101" s="41"/>
      <c r="V101" s="60"/>
      <c r="W101" s="41"/>
      <c r="X101" s="41"/>
      <c r="Y101" s="41"/>
      <c r="Z101" s="41"/>
      <c r="AA101" s="41"/>
      <c r="AB101" s="41"/>
      <c r="AC101" s="41"/>
      <c r="AD101" s="41"/>
      <c r="AE101" s="41"/>
      <c r="AF101" s="41"/>
      <c r="AG101" s="41"/>
      <c r="AH101" s="41"/>
      <c r="AI101" s="41"/>
      <c r="AJ101" s="41"/>
      <c r="AK101" s="41"/>
    </row>
    <row r="102" ht="13.5" customHeight="1">
      <c r="A102" s="8"/>
      <c r="B102" s="41"/>
      <c r="C102" s="41"/>
      <c r="D102" s="41"/>
      <c r="E102" s="41"/>
      <c r="F102" s="41"/>
      <c r="G102" s="41"/>
      <c r="H102" s="41"/>
      <c r="I102" s="41"/>
      <c r="J102" s="41"/>
      <c r="K102" s="41"/>
      <c r="L102" s="41"/>
      <c r="M102" s="41"/>
      <c r="N102" s="41"/>
      <c r="O102" s="41"/>
      <c r="P102" s="41"/>
      <c r="Q102" s="41"/>
      <c r="R102" s="41"/>
      <c r="S102" s="41"/>
      <c r="T102" s="41"/>
      <c r="U102" s="41"/>
      <c r="V102" s="60"/>
      <c r="W102" s="41"/>
      <c r="X102" s="41"/>
      <c r="Y102" s="41"/>
      <c r="Z102" s="41"/>
      <c r="AA102" s="41"/>
      <c r="AB102" s="41"/>
      <c r="AC102" s="41"/>
      <c r="AD102" s="41"/>
      <c r="AE102" s="41"/>
      <c r="AF102" s="41"/>
      <c r="AG102" s="41"/>
      <c r="AH102" s="41"/>
      <c r="AI102" s="41"/>
      <c r="AJ102" s="41"/>
      <c r="AK102" s="41"/>
    </row>
    <row r="103" ht="13.5" customHeight="1">
      <c r="A103" s="8"/>
      <c r="B103" s="41"/>
      <c r="C103" s="41"/>
      <c r="D103" s="41"/>
      <c r="E103" s="41"/>
      <c r="F103" s="41"/>
      <c r="G103" s="41"/>
      <c r="H103" s="41"/>
      <c r="I103" s="41"/>
      <c r="J103" s="41"/>
      <c r="K103" s="41"/>
      <c r="L103" s="41"/>
      <c r="M103" s="41"/>
      <c r="N103" s="41"/>
      <c r="O103" s="41"/>
      <c r="P103" s="41"/>
      <c r="Q103" s="41"/>
      <c r="R103" s="41"/>
      <c r="S103" s="41"/>
      <c r="T103" s="41"/>
      <c r="U103" s="41"/>
      <c r="V103" s="60"/>
      <c r="W103" s="41"/>
      <c r="X103" s="41"/>
      <c r="Y103" s="41"/>
      <c r="Z103" s="41"/>
      <c r="AA103" s="41"/>
      <c r="AB103" s="41"/>
      <c r="AC103" s="41"/>
      <c r="AD103" s="41"/>
      <c r="AE103" s="41"/>
      <c r="AF103" s="41"/>
      <c r="AG103" s="41"/>
      <c r="AH103" s="41"/>
      <c r="AI103" s="41"/>
      <c r="AJ103" s="41"/>
      <c r="AK103" s="41"/>
    </row>
    <row r="104" ht="13.5" customHeight="1">
      <c r="A104" s="41"/>
      <c r="B104" s="41"/>
      <c r="C104" s="41"/>
      <c r="D104" s="41"/>
      <c r="E104" s="41"/>
      <c r="F104" s="41"/>
      <c r="G104" s="41"/>
      <c r="H104" s="41"/>
      <c r="I104" s="41"/>
      <c r="J104" s="41"/>
      <c r="K104" s="41"/>
      <c r="L104" s="41"/>
      <c r="M104" s="41"/>
      <c r="N104" s="41"/>
      <c r="O104" s="41"/>
      <c r="P104" s="41"/>
      <c r="Q104" s="41"/>
      <c r="R104" s="41"/>
      <c r="S104" s="41"/>
      <c r="T104" s="41"/>
      <c r="U104" s="41"/>
      <c r="V104" s="60"/>
      <c r="W104" s="41"/>
      <c r="X104" s="41"/>
      <c r="Y104" s="41"/>
      <c r="Z104" s="41"/>
      <c r="AA104" s="41"/>
      <c r="AB104" s="41"/>
      <c r="AC104" s="41"/>
      <c r="AD104" s="41"/>
      <c r="AE104" s="41"/>
      <c r="AF104" s="41"/>
      <c r="AG104" s="41"/>
      <c r="AH104" s="41"/>
      <c r="AI104" s="41"/>
      <c r="AJ104" s="41"/>
      <c r="AK104" s="41"/>
    </row>
    <row r="105" ht="13.5" customHeight="1">
      <c r="A105" s="41"/>
      <c r="B105" s="41"/>
      <c r="C105" s="41"/>
      <c r="D105" s="41"/>
      <c r="E105" s="41"/>
      <c r="F105" s="41"/>
      <c r="G105" s="41"/>
      <c r="H105" s="41"/>
      <c r="I105" s="41"/>
      <c r="J105" s="41"/>
      <c r="K105" s="41"/>
      <c r="L105" s="41"/>
      <c r="M105" s="41"/>
      <c r="N105" s="41"/>
      <c r="O105" s="41"/>
      <c r="P105" s="41"/>
      <c r="Q105" s="41"/>
      <c r="R105" s="41"/>
      <c r="S105" s="41"/>
      <c r="T105" s="41"/>
      <c r="U105" s="41"/>
      <c r="V105" s="60"/>
      <c r="W105" s="41"/>
      <c r="X105" s="41"/>
      <c r="Y105" s="41"/>
      <c r="Z105" s="41"/>
      <c r="AA105" s="41"/>
      <c r="AB105" s="41"/>
      <c r="AC105" s="41"/>
      <c r="AD105" s="41"/>
      <c r="AE105" s="41"/>
      <c r="AF105" s="41"/>
      <c r="AG105" s="41"/>
      <c r="AH105" s="41"/>
      <c r="AI105" s="41"/>
      <c r="AJ105" s="41"/>
      <c r="AK105" s="41"/>
    </row>
    <row r="106" ht="13.5" customHeight="1">
      <c r="A106" s="41"/>
      <c r="B106" s="41"/>
      <c r="C106" s="41"/>
      <c r="D106" s="41"/>
      <c r="E106" s="41"/>
      <c r="F106" s="41"/>
      <c r="G106" s="41"/>
      <c r="H106" s="41"/>
      <c r="I106" s="41"/>
      <c r="J106" s="41"/>
      <c r="K106" s="41"/>
      <c r="L106" s="41"/>
      <c r="M106" s="41"/>
      <c r="N106" s="41"/>
      <c r="O106" s="41"/>
      <c r="P106" s="41"/>
      <c r="Q106" s="41"/>
      <c r="R106" s="41"/>
      <c r="S106" s="41"/>
      <c r="T106" s="41"/>
      <c r="U106" s="41"/>
      <c r="V106" s="60"/>
      <c r="W106" s="41"/>
      <c r="X106" s="41"/>
      <c r="Y106" s="41"/>
      <c r="Z106" s="41"/>
      <c r="AA106" s="41"/>
      <c r="AB106" s="41"/>
      <c r="AC106" s="41"/>
      <c r="AD106" s="41"/>
      <c r="AE106" s="41"/>
      <c r="AF106" s="41"/>
      <c r="AG106" s="41"/>
      <c r="AH106" s="41"/>
      <c r="AI106" s="41"/>
      <c r="AJ106" s="41"/>
      <c r="AK106" s="41"/>
    </row>
    <row r="107" ht="13.5" customHeight="1">
      <c r="A107" s="41"/>
      <c r="B107" s="41"/>
      <c r="C107" s="41"/>
      <c r="D107" s="41"/>
      <c r="E107" s="41"/>
      <c r="F107" s="41"/>
      <c r="G107" s="41"/>
      <c r="H107" s="41"/>
      <c r="I107" s="41"/>
      <c r="J107" s="41"/>
      <c r="K107" s="41"/>
      <c r="L107" s="41"/>
      <c r="M107" s="41"/>
      <c r="N107" s="41"/>
      <c r="O107" s="41"/>
      <c r="P107" s="41"/>
      <c r="Q107" s="41"/>
      <c r="R107" s="41"/>
      <c r="S107" s="41"/>
      <c r="T107" s="41"/>
      <c r="U107" s="41"/>
      <c r="V107" s="60"/>
      <c r="W107" s="41"/>
      <c r="X107" s="41"/>
      <c r="Y107" s="41"/>
      <c r="Z107" s="41"/>
      <c r="AA107" s="41"/>
      <c r="AB107" s="41"/>
      <c r="AC107" s="41"/>
      <c r="AD107" s="41"/>
      <c r="AE107" s="41"/>
      <c r="AF107" s="41"/>
      <c r="AG107" s="41"/>
      <c r="AH107" s="41"/>
      <c r="AI107" s="41"/>
      <c r="AJ107" s="41"/>
      <c r="AK107" s="41"/>
    </row>
    <row r="108" ht="13.5" customHeight="1">
      <c r="A108" s="41"/>
      <c r="B108" s="41"/>
      <c r="C108" s="41"/>
      <c r="D108" s="41"/>
      <c r="E108" s="41"/>
      <c r="F108" s="41"/>
      <c r="G108" s="41"/>
      <c r="H108" s="41"/>
      <c r="I108" s="41"/>
      <c r="J108" s="41"/>
      <c r="K108" s="41"/>
      <c r="L108" s="41"/>
      <c r="M108" s="41"/>
      <c r="N108" s="41"/>
      <c r="O108" s="41"/>
      <c r="P108" s="41"/>
      <c r="Q108" s="41"/>
      <c r="R108" s="41"/>
      <c r="S108" s="41"/>
      <c r="T108" s="41"/>
      <c r="U108" s="41"/>
      <c r="V108" s="60"/>
      <c r="W108" s="41"/>
      <c r="X108" s="41"/>
      <c r="Y108" s="41"/>
      <c r="Z108" s="41"/>
      <c r="AA108" s="41"/>
      <c r="AB108" s="41"/>
      <c r="AC108" s="41"/>
      <c r="AD108" s="41"/>
      <c r="AE108" s="41"/>
      <c r="AF108" s="41"/>
      <c r="AG108" s="41"/>
      <c r="AH108" s="41"/>
      <c r="AI108" s="41"/>
      <c r="AJ108" s="41"/>
      <c r="AK108" s="41"/>
    </row>
    <row r="109" ht="13.5" customHeight="1">
      <c r="A109" s="41"/>
      <c r="B109" s="41"/>
      <c r="C109" s="41"/>
      <c r="D109" s="41"/>
      <c r="E109" s="41"/>
      <c r="F109" s="41"/>
      <c r="G109" s="41"/>
      <c r="H109" s="41"/>
      <c r="I109" s="41"/>
      <c r="J109" s="41"/>
      <c r="K109" s="41"/>
      <c r="L109" s="41"/>
      <c r="M109" s="41"/>
      <c r="N109" s="41"/>
      <c r="O109" s="41"/>
      <c r="P109" s="41"/>
      <c r="Q109" s="41"/>
      <c r="R109" s="41"/>
      <c r="S109" s="41"/>
      <c r="T109" s="41"/>
      <c r="U109" s="41"/>
      <c r="V109" s="60"/>
      <c r="W109" s="41"/>
      <c r="X109" s="41"/>
      <c r="Y109" s="41"/>
      <c r="Z109" s="41"/>
      <c r="AA109" s="41"/>
      <c r="AB109" s="41"/>
      <c r="AC109" s="41"/>
      <c r="AD109" s="41"/>
      <c r="AE109" s="41"/>
      <c r="AF109" s="41"/>
      <c r="AG109" s="41"/>
      <c r="AH109" s="41"/>
      <c r="AI109" s="41"/>
      <c r="AJ109" s="41"/>
      <c r="AK109" s="41"/>
    </row>
    <row r="110" ht="13.5" customHeight="1">
      <c r="A110" s="41"/>
      <c r="B110" s="41"/>
      <c r="C110" s="41"/>
      <c r="D110" s="41"/>
      <c r="E110" s="41"/>
      <c r="F110" s="41"/>
      <c r="G110" s="41"/>
      <c r="H110" s="41"/>
      <c r="I110" s="41"/>
      <c r="J110" s="41"/>
      <c r="K110" s="41"/>
      <c r="L110" s="41"/>
      <c r="M110" s="41"/>
      <c r="N110" s="41"/>
      <c r="O110" s="41"/>
      <c r="P110" s="41"/>
      <c r="Q110" s="41"/>
      <c r="R110" s="41"/>
      <c r="S110" s="41"/>
      <c r="T110" s="41"/>
      <c r="U110" s="41"/>
      <c r="V110" s="60"/>
      <c r="W110" s="41"/>
      <c r="X110" s="41"/>
      <c r="Y110" s="41"/>
      <c r="Z110" s="41"/>
      <c r="AA110" s="41"/>
      <c r="AB110" s="41"/>
      <c r="AC110" s="41"/>
      <c r="AD110" s="41"/>
      <c r="AE110" s="41"/>
      <c r="AF110" s="41"/>
      <c r="AG110" s="41"/>
      <c r="AH110" s="41"/>
      <c r="AI110" s="41"/>
      <c r="AJ110" s="41"/>
      <c r="AK110" s="41"/>
    </row>
    <row r="111" ht="13.5" customHeight="1">
      <c r="A111" s="41"/>
      <c r="B111" s="41"/>
      <c r="C111" s="41"/>
      <c r="D111" s="41"/>
      <c r="E111" s="41"/>
      <c r="F111" s="41"/>
      <c r="G111" s="41"/>
      <c r="H111" s="41"/>
      <c r="I111" s="41"/>
      <c r="J111" s="41"/>
      <c r="K111" s="41"/>
      <c r="L111" s="41"/>
      <c r="M111" s="41"/>
      <c r="N111" s="41"/>
      <c r="O111" s="41"/>
      <c r="P111" s="41"/>
      <c r="Q111" s="41"/>
      <c r="R111" s="41"/>
      <c r="S111" s="41"/>
      <c r="T111" s="41"/>
      <c r="U111" s="41"/>
      <c r="V111" s="60"/>
      <c r="W111" s="41"/>
      <c r="X111" s="41"/>
      <c r="Y111" s="41"/>
      <c r="Z111" s="41"/>
      <c r="AA111" s="41"/>
      <c r="AB111" s="41"/>
      <c r="AC111" s="41"/>
      <c r="AD111" s="41"/>
      <c r="AE111" s="41"/>
      <c r="AF111" s="41"/>
      <c r="AG111" s="41"/>
      <c r="AH111" s="41"/>
      <c r="AI111" s="41"/>
      <c r="AJ111" s="41"/>
      <c r="AK111" s="41"/>
    </row>
    <row r="112" ht="13.5" customHeight="1">
      <c r="A112" s="41"/>
      <c r="B112" s="41"/>
      <c r="C112" s="41"/>
      <c r="D112" s="41"/>
      <c r="E112" s="41"/>
      <c r="F112" s="41"/>
      <c r="G112" s="41"/>
      <c r="H112" s="41"/>
      <c r="I112" s="41"/>
      <c r="J112" s="41"/>
      <c r="K112" s="41"/>
      <c r="L112" s="41"/>
      <c r="M112" s="41"/>
      <c r="N112" s="41"/>
      <c r="O112" s="41"/>
      <c r="P112" s="41"/>
      <c r="Q112" s="41"/>
      <c r="R112" s="41"/>
      <c r="S112" s="41"/>
      <c r="T112" s="41"/>
      <c r="U112" s="41"/>
      <c r="V112" s="60"/>
      <c r="W112" s="41"/>
      <c r="X112" s="41"/>
      <c r="Y112" s="41"/>
      <c r="Z112" s="41"/>
      <c r="AA112" s="41"/>
      <c r="AB112" s="41"/>
      <c r="AC112" s="41"/>
      <c r="AD112" s="41"/>
      <c r="AE112" s="41"/>
      <c r="AF112" s="41"/>
      <c r="AG112" s="41"/>
      <c r="AH112" s="41"/>
      <c r="AI112" s="41"/>
      <c r="AJ112" s="41"/>
      <c r="AK112" s="41"/>
    </row>
    <row r="113" ht="13.5" customHeight="1">
      <c r="A113" s="41"/>
      <c r="B113" s="41"/>
      <c r="C113" s="41"/>
      <c r="D113" s="41"/>
      <c r="E113" s="41"/>
      <c r="F113" s="41"/>
      <c r="G113" s="41"/>
      <c r="H113" s="41"/>
      <c r="I113" s="41"/>
      <c r="J113" s="41"/>
      <c r="K113" s="41"/>
      <c r="L113" s="41"/>
      <c r="M113" s="41"/>
      <c r="N113" s="41"/>
      <c r="O113" s="41"/>
      <c r="P113" s="41"/>
      <c r="Q113" s="41"/>
      <c r="R113" s="41"/>
      <c r="S113" s="41"/>
      <c r="T113" s="41"/>
      <c r="U113" s="41"/>
      <c r="V113" s="60"/>
      <c r="W113" s="41"/>
      <c r="X113" s="41"/>
      <c r="Y113" s="41"/>
      <c r="Z113" s="41"/>
      <c r="AA113" s="41"/>
      <c r="AB113" s="41"/>
      <c r="AC113" s="41"/>
      <c r="AD113" s="41"/>
      <c r="AE113" s="41"/>
      <c r="AF113" s="41"/>
      <c r="AG113" s="41"/>
      <c r="AH113" s="41"/>
      <c r="AI113" s="41"/>
      <c r="AJ113" s="41"/>
      <c r="AK113" s="41"/>
    </row>
    <row r="114" ht="13.5" customHeight="1">
      <c r="A114" s="41"/>
      <c r="B114" s="41"/>
      <c r="C114" s="41"/>
      <c r="D114" s="41"/>
      <c r="E114" s="41"/>
      <c r="F114" s="41"/>
      <c r="G114" s="41"/>
      <c r="H114" s="41"/>
      <c r="I114" s="41"/>
      <c r="J114" s="41"/>
      <c r="K114" s="41"/>
      <c r="L114" s="41"/>
      <c r="M114" s="41"/>
      <c r="N114" s="41"/>
      <c r="O114" s="41"/>
      <c r="P114" s="41"/>
      <c r="Q114" s="41"/>
      <c r="R114" s="41"/>
      <c r="S114" s="41"/>
      <c r="T114" s="41"/>
      <c r="U114" s="41"/>
      <c r="V114" s="60"/>
      <c r="W114" s="41"/>
      <c r="X114" s="41"/>
      <c r="Y114" s="41"/>
      <c r="Z114" s="41"/>
      <c r="AA114" s="41"/>
      <c r="AB114" s="41"/>
      <c r="AC114" s="41"/>
      <c r="AD114" s="41"/>
      <c r="AE114" s="41"/>
      <c r="AF114" s="41"/>
      <c r="AG114" s="41"/>
      <c r="AH114" s="41"/>
      <c r="AI114" s="41"/>
      <c r="AJ114" s="41"/>
      <c r="AK114" s="41"/>
    </row>
    <row r="115" ht="13.5" customHeight="1">
      <c r="A115" s="41"/>
      <c r="B115" s="41"/>
      <c r="C115" s="41"/>
      <c r="D115" s="41"/>
      <c r="E115" s="41"/>
      <c r="F115" s="41"/>
      <c r="G115" s="41"/>
      <c r="H115" s="41"/>
      <c r="I115" s="41"/>
      <c r="J115" s="41"/>
      <c r="K115" s="41"/>
      <c r="L115" s="41"/>
      <c r="M115" s="41"/>
      <c r="N115" s="41"/>
      <c r="O115" s="41"/>
      <c r="P115" s="41"/>
      <c r="Q115" s="41"/>
      <c r="R115" s="41"/>
      <c r="S115" s="41"/>
      <c r="T115" s="41"/>
      <c r="U115" s="41"/>
      <c r="V115" s="60"/>
      <c r="W115" s="41"/>
      <c r="X115" s="41"/>
      <c r="Y115" s="41"/>
      <c r="Z115" s="41"/>
      <c r="AA115" s="41"/>
      <c r="AB115" s="41"/>
      <c r="AC115" s="41"/>
      <c r="AD115" s="41"/>
      <c r="AE115" s="41"/>
      <c r="AF115" s="41"/>
      <c r="AG115" s="41"/>
      <c r="AH115" s="41"/>
      <c r="AI115" s="41"/>
      <c r="AJ115" s="41"/>
      <c r="AK115" s="41"/>
    </row>
    <row r="116" ht="13.5" customHeight="1">
      <c r="A116" s="41"/>
      <c r="B116" s="41"/>
      <c r="C116" s="41"/>
      <c r="D116" s="41"/>
      <c r="E116" s="41"/>
      <c r="F116" s="41"/>
      <c r="G116" s="41"/>
      <c r="H116" s="41"/>
      <c r="I116" s="41"/>
      <c r="J116" s="41"/>
      <c r="K116" s="41"/>
      <c r="L116" s="41"/>
      <c r="M116" s="41"/>
      <c r="N116" s="41"/>
      <c r="O116" s="41"/>
      <c r="P116" s="41"/>
      <c r="Q116" s="41"/>
      <c r="R116" s="41"/>
      <c r="S116" s="41"/>
      <c r="T116" s="41"/>
      <c r="U116" s="41"/>
      <c r="V116" s="60"/>
      <c r="W116" s="41"/>
      <c r="X116" s="41"/>
      <c r="Y116" s="41"/>
      <c r="Z116" s="41"/>
      <c r="AA116" s="41"/>
      <c r="AB116" s="41"/>
      <c r="AC116" s="41"/>
      <c r="AD116" s="41"/>
      <c r="AE116" s="41"/>
      <c r="AF116" s="41"/>
      <c r="AG116" s="41"/>
      <c r="AH116" s="41"/>
      <c r="AI116" s="41"/>
      <c r="AJ116" s="41"/>
      <c r="AK116" s="41"/>
    </row>
    <row r="117" ht="13.5" customHeight="1">
      <c r="A117" s="41"/>
      <c r="B117" s="41"/>
      <c r="C117" s="41"/>
      <c r="D117" s="41"/>
      <c r="E117" s="41"/>
      <c r="F117" s="41"/>
      <c r="G117" s="41"/>
      <c r="H117" s="41"/>
      <c r="I117" s="41"/>
      <c r="J117" s="41"/>
      <c r="K117" s="41"/>
      <c r="L117" s="41"/>
      <c r="M117" s="41"/>
      <c r="N117" s="41"/>
      <c r="O117" s="41"/>
      <c r="P117" s="41"/>
      <c r="Q117" s="41"/>
      <c r="R117" s="41"/>
      <c r="S117" s="41"/>
      <c r="T117" s="41"/>
      <c r="U117" s="41"/>
      <c r="V117" s="60"/>
      <c r="W117" s="41"/>
      <c r="X117" s="41"/>
      <c r="Y117" s="41"/>
      <c r="Z117" s="41"/>
      <c r="AA117" s="41"/>
      <c r="AB117" s="41"/>
      <c r="AC117" s="41"/>
      <c r="AD117" s="41"/>
      <c r="AE117" s="41"/>
      <c r="AF117" s="41"/>
      <c r="AG117" s="41"/>
      <c r="AH117" s="41"/>
      <c r="AI117" s="41"/>
      <c r="AJ117" s="41"/>
      <c r="AK117" s="41"/>
    </row>
    <row r="118" ht="13.5" customHeight="1">
      <c r="A118" s="41"/>
      <c r="B118" s="41"/>
      <c r="C118" s="41"/>
      <c r="D118" s="41"/>
      <c r="E118" s="41"/>
      <c r="F118" s="41"/>
      <c r="G118" s="41"/>
      <c r="H118" s="41"/>
      <c r="I118" s="41"/>
      <c r="J118" s="41"/>
      <c r="K118" s="41"/>
      <c r="L118" s="41"/>
      <c r="M118" s="41"/>
      <c r="N118" s="41"/>
      <c r="O118" s="41"/>
      <c r="P118" s="41"/>
      <c r="Q118" s="41"/>
      <c r="R118" s="41"/>
      <c r="S118" s="41"/>
      <c r="T118" s="41"/>
      <c r="U118" s="41"/>
      <c r="V118" s="60"/>
      <c r="W118" s="41"/>
      <c r="X118" s="41"/>
      <c r="Y118" s="41"/>
      <c r="Z118" s="41"/>
      <c r="AA118" s="41"/>
      <c r="AB118" s="41"/>
      <c r="AC118" s="41"/>
      <c r="AD118" s="41"/>
      <c r="AE118" s="41"/>
      <c r="AF118" s="41"/>
      <c r="AG118" s="41"/>
      <c r="AH118" s="41"/>
      <c r="AI118" s="41"/>
      <c r="AJ118" s="41"/>
      <c r="AK118" s="41"/>
    </row>
    <row r="119" ht="13.5" customHeight="1">
      <c r="A119" s="41"/>
      <c r="B119" s="41"/>
      <c r="C119" s="41"/>
      <c r="D119" s="41"/>
      <c r="E119" s="41"/>
      <c r="F119" s="41"/>
      <c r="G119" s="41"/>
      <c r="H119" s="41"/>
      <c r="I119" s="41"/>
      <c r="J119" s="41"/>
      <c r="K119" s="41"/>
      <c r="L119" s="41"/>
      <c r="M119" s="41"/>
      <c r="N119" s="41"/>
      <c r="O119" s="41"/>
      <c r="P119" s="41"/>
      <c r="Q119" s="41"/>
      <c r="R119" s="41"/>
      <c r="S119" s="41"/>
      <c r="T119" s="41"/>
      <c r="U119" s="41"/>
      <c r="V119" s="60"/>
      <c r="W119" s="41"/>
      <c r="X119" s="41"/>
      <c r="Y119" s="41"/>
      <c r="Z119" s="41"/>
      <c r="AA119" s="41"/>
      <c r="AB119" s="41"/>
      <c r="AC119" s="41"/>
      <c r="AD119" s="41"/>
      <c r="AE119" s="41"/>
      <c r="AF119" s="41"/>
      <c r="AG119" s="41"/>
      <c r="AH119" s="41"/>
      <c r="AI119" s="41"/>
      <c r="AJ119" s="41"/>
      <c r="AK119" s="41"/>
    </row>
    <row r="120" ht="13.5" customHeight="1">
      <c r="A120" s="41"/>
      <c r="B120" s="41"/>
      <c r="C120" s="41"/>
      <c r="D120" s="41"/>
      <c r="E120" s="41"/>
      <c r="F120" s="41"/>
      <c r="G120" s="41"/>
      <c r="H120" s="41"/>
      <c r="I120" s="41"/>
      <c r="J120" s="41"/>
      <c r="K120" s="41"/>
      <c r="L120" s="41"/>
      <c r="M120" s="41"/>
      <c r="N120" s="41"/>
      <c r="O120" s="41"/>
      <c r="P120" s="41"/>
      <c r="Q120" s="41"/>
      <c r="R120" s="41"/>
      <c r="S120" s="41"/>
      <c r="T120" s="41"/>
      <c r="U120" s="41"/>
      <c r="V120" s="60"/>
      <c r="W120" s="41"/>
      <c r="X120" s="41"/>
      <c r="Y120" s="41"/>
      <c r="Z120" s="41"/>
      <c r="AA120" s="41"/>
      <c r="AB120" s="41"/>
      <c r="AC120" s="41"/>
      <c r="AD120" s="41"/>
      <c r="AE120" s="41"/>
      <c r="AF120" s="41"/>
      <c r="AG120" s="41"/>
      <c r="AH120" s="41"/>
      <c r="AI120" s="41"/>
      <c r="AJ120" s="41"/>
      <c r="AK120" s="41"/>
    </row>
    <row r="121" ht="13.5" customHeight="1">
      <c r="A121" s="41"/>
      <c r="B121" s="41"/>
      <c r="C121" s="41"/>
      <c r="D121" s="41"/>
      <c r="E121" s="41"/>
      <c r="F121" s="41"/>
      <c r="G121" s="41"/>
      <c r="H121" s="41"/>
      <c r="I121" s="41"/>
      <c r="J121" s="41"/>
      <c r="K121" s="41"/>
      <c r="L121" s="41"/>
      <c r="M121" s="41"/>
      <c r="N121" s="41"/>
      <c r="O121" s="41"/>
      <c r="P121" s="41"/>
      <c r="Q121" s="41"/>
      <c r="R121" s="41"/>
      <c r="S121" s="41"/>
      <c r="T121" s="41"/>
      <c r="U121" s="41"/>
      <c r="V121" s="60"/>
      <c r="W121" s="41"/>
      <c r="X121" s="41"/>
      <c r="Y121" s="41"/>
      <c r="Z121" s="41"/>
      <c r="AA121" s="41"/>
      <c r="AB121" s="41"/>
      <c r="AC121" s="41"/>
      <c r="AD121" s="41"/>
      <c r="AE121" s="41"/>
      <c r="AF121" s="41"/>
      <c r="AG121" s="41"/>
      <c r="AH121" s="41"/>
      <c r="AI121" s="41"/>
      <c r="AJ121" s="41"/>
      <c r="AK121" s="41"/>
    </row>
    <row r="122" ht="13.5" customHeight="1">
      <c r="A122" s="41"/>
      <c r="B122" s="41"/>
      <c r="C122" s="41"/>
      <c r="D122" s="41"/>
      <c r="E122" s="41"/>
      <c r="F122" s="41"/>
      <c r="G122" s="41"/>
      <c r="H122" s="41"/>
      <c r="I122" s="41"/>
      <c r="J122" s="41"/>
      <c r="K122" s="41"/>
      <c r="L122" s="41"/>
      <c r="M122" s="41"/>
      <c r="N122" s="41"/>
      <c r="O122" s="41"/>
      <c r="P122" s="41"/>
      <c r="Q122" s="41"/>
      <c r="R122" s="41"/>
      <c r="S122" s="41"/>
      <c r="T122" s="41"/>
      <c r="U122" s="41"/>
      <c r="V122" s="60"/>
      <c r="W122" s="41"/>
      <c r="X122" s="41"/>
      <c r="Y122" s="41"/>
      <c r="Z122" s="41"/>
      <c r="AA122" s="41"/>
      <c r="AB122" s="41"/>
      <c r="AC122" s="41"/>
      <c r="AD122" s="41"/>
      <c r="AE122" s="41"/>
      <c r="AF122" s="41"/>
      <c r="AG122" s="41"/>
      <c r="AH122" s="41"/>
      <c r="AI122" s="41"/>
      <c r="AJ122" s="41"/>
      <c r="AK122" s="41"/>
    </row>
    <row r="123" ht="13.5" customHeight="1">
      <c r="A123" s="41"/>
      <c r="B123" s="41"/>
      <c r="C123" s="41"/>
      <c r="D123" s="41"/>
      <c r="E123" s="41"/>
      <c r="F123" s="41"/>
      <c r="G123" s="41"/>
      <c r="H123" s="41"/>
      <c r="I123" s="41"/>
      <c r="J123" s="41"/>
      <c r="K123" s="41"/>
      <c r="L123" s="41"/>
      <c r="M123" s="41"/>
      <c r="N123" s="41"/>
      <c r="O123" s="41"/>
      <c r="P123" s="41"/>
      <c r="Q123" s="41"/>
      <c r="R123" s="41"/>
      <c r="S123" s="41"/>
      <c r="T123" s="41"/>
      <c r="U123" s="41"/>
      <c r="V123" s="60"/>
      <c r="W123" s="41"/>
      <c r="X123" s="41"/>
      <c r="Y123" s="41"/>
      <c r="Z123" s="41"/>
      <c r="AA123" s="41"/>
      <c r="AB123" s="41"/>
      <c r="AC123" s="41"/>
      <c r="AD123" s="41"/>
      <c r="AE123" s="41"/>
      <c r="AF123" s="41"/>
      <c r="AG123" s="41"/>
      <c r="AH123" s="41"/>
      <c r="AI123" s="41"/>
      <c r="AJ123" s="41"/>
      <c r="AK123" s="41"/>
    </row>
    <row r="124" ht="13.5" customHeight="1">
      <c r="A124" s="41"/>
      <c r="B124" s="41"/>
      <c r="C124" s="41"/>
      <c r="D124" s="41"/>
      <c r="E124" s="41"/>
      <c r="F124" s="41"/>
      <c r="G124" s="41"/>
      <c r="H124" s="41"/>
      <c r="I124" s="41"/>
      <c r="J124" s="41"/>
      <c r="K124" s="41"/>
      <c r="L124" s="41"/>
      <c r="M124" s="41"/>
      <c r="N124" s="41"/>
      <c r="O124" s="41"/>
      <c r="P124" s="41"/>
      <c r="Q124" s="41"/>
      <c r="R124" s="41"/>
      <c r="S124" s="41"/>
      <c r="T124" s="41"/>
      <c r="U124" s="41"/>
      <c r="V124" s="60"/>
      <c r="W124" s="41"/>
      <c r="X124" s="41"/>
      <c r="Y124" s="41"/>
      <c r="Z124" s="41"/>
      <c r="AA124" s="41"/>
      <c r="AB124" s="41"/>
      <c r="AC124" s="41"/>
      <c r="AD124" s="41"/>
      <c r="AE124" s="41"/>
      <c r="AF124" s="41"/>
      <c r="AG124" s="41"/>
      <c r="AH124" s="41"/>
      <c r="AI124" s="41"/>
      <c r="AJ124" s="41"/>
      <c r="AK124" s="41"/>
    </row>
    <row r="125" ht="13.5" customHeight="1">
      <c r="A125" s="41"/>
      <c r="B125" s="41"/>
      <c r="C125" s="41"/>
      <c r="D125" s="41"/>
      <c r="E125" s="41"/>
      <c r="F125" s="41"/>
      <c r="G125" s="41"/>
      <c r="H125" s="41"/>
      <c r="I125" s="41"/>
      <c r="J125" s="41"/>
      <c r="K125" s="41"/>
      <c r="L125" s="41"/>
      <c r="M125" s="41"/>
      <c r="N125" s="41"/>
      <c r="O125" s="41"/>
      <c r="P125" s="41"/>
      <c r="Q125" s="41"/>
      <c r="R125" s="41"/>
      <c r="S125" s="41"/>
      <c r="T125" s="41"/>
      <c r="U125" s="41"/>
      <c r="V125" s="60"/>
      <c r="W125" s="41"/>
      <c r="X125" s="41"/>
      <c r="Y125" s="41"/>
      <c r="Z125" s="41"/>
      <c r="AA125" s="41"/>
      <c r="AB125" s="41"/>
      <c r="AC125" s="41"/>
      <c r="AD125" s="41"/>
      <c r="AE125" s="41"/>
      <c r="AF125" s="41"/>
      <c r="AG125" s="41"/>
      <c r="AH125" s="41"/>
      <c r="AI125" s="41"/>
      <c r="AJ125" s="41"/>
      <c r="AK125" s="41"/>
    </row>
    <row r="126" ht="13.5" customHeight="1">
      <c r="A126" s="41"/>
      <c r="B126" s="41"/>
      <c r="C126" s="41"/>
      <c r="D126" s="41"/>
      <c r="E126" s="41"/>
      <c r="F126" s="41"/>
      <c r="G126" s="41"/>
      <c r="H126" s="41"/>
      <c r="I126" s="41"/>
      <c r="J126" s="41"/>
      <c r="K126" s="41"/>
      <c r="L126" s="41"/>
      <c r="M126" s="41"/>
      <c r="N126" s="41"/>
      <c r="O126" s="41"/>
      <c r="P126" s="41"/>
      <c r="Q126" s="41"/>
      <c r="R126" s="41"/>
      <c r="S126" s="41"/>
      <c r="T126" s="41"/>
      <c r="U126" s="41"/>
      <c r="V126" s="60"/>
      <c r="W126" s="41"/>
      <c r="X126" s="41"/>
      <c r="Y126" s="41"/>
      <c r="Z126" s="41"/>
      <c r="AA126" s="41"/>
      <c r="AB126" s="41"/>
      <c r="AC126" s="41"/>
      <c r="AD126" s="41"/>
      <c r="AE126" s="41"/>
      <c r="AF126" s="41"/>
      <c r="AG126" s="41"/>
      <c r="AH126" s="41"/>
      <c r="AI126" s="41"/>
      <c r="AJ126" s="41"/>
      <c r="AK126" s="41"/>
    </row>
    <row r="127" ht="13.5" customHeight="1">
      <c r="A127" s="41"/>
      <c r="B127" s="41"/>
      <c r="C127" s="41"/>
      <c r="D127" s="41"/>
      <c r="E127" s="41"/>
      <c r="F127" s="41"/>
      <c r="G127" s="41"/>
      <c r="H127" s="41"/>
      <c r="I127" s="41"/>
      <c r="J127" s="41"/>
      <c r="K127" s="41"/>
      <c r="L127" s="41"/>
      <c r="M127" s="41"/>
      <c r="N127" s="41"/>
      <c r="O127" s="41"/>
      <c r="P127" s="41"/>
      <c r="Q127" s="41"/>
      <c r="R127" s="41"/>
      <c r="S127" s="41"/>
      <c r="T127" s="41"/>
      <c r="U127" s="41"/>
      <c r="V127" s="60"/>
      <c r="W127" s="41"/>
      <c r="X127" s="41"/>
      <c r="Y127" s="41"/>
      <c r="Z127" s="41"/>
      <c r="AA127" s="41"/>
      <c r="AB127" s="41"/>
      <c r="AC127" s="41"/>
      <c r="AD127" s="41"/>
      <c r="AE127" s="41"/>
      <c r="AF127" s="41"/>
      <c r="AG127" s="41"/>
      <c r="AH127" s="41"/>
      <c r="AI127" s="41"/>
      <c r="AJ127" s="41"/>
      <c r="AK127" s="41"/>
    </row>
    <row r="128" ht="13.5" customHeight="1">
      <c r="A128" s="41"/>
      <c r="B128" s="41"/>
      <c r="C128" s="41"/>
      <c r="D128" s="41"/>
      <c r="E128" s="41"/>
      <c r="F128" s="41"/>
      <c r="G128" s="41"/>
      <c r="H128" s="41"/>
      <c r="I128" s="41"/>
      <c r="J128" s="41"/>
      <c r="K128" s="41"/>
      <c r="L128" s="41"/>
      <c r="M128" s="41"/>
      <c r="N128" s="41"/>
      <c r="O128" s="41"/>
      <c r="P128" s="41"/>
      <c r="Q128" s="41"/>
      <c r="R128" s="41"/>
      <c r="S128" s="41"/>
      <c r="T128" s="41"/>
      <c r="U128" s="41"/>
      <c r="V128" s="60"/>
      <c r="W128" s="41"/>
      <c r="X128" s="41"/>
      <c r="Y128" s="41"/>
      <c r="Z128" s="41"/>
      <c r="AA128" s="41"/>
      <c r="AB128" s="41"/>
      <c r="AC128" s="41"/>
      <c r="AD128" s="41"/>
      <c r="AE128" s="41"/>
      <c r="AF128" s="41"/>
      <c r="AG128" s="41"/>
      <c r="AH128" s="41"/>
      <c r="AI128" s="41"/>
      <c r="AJ128" s="41"/>
      <c r="AK128" s="41"/>
    </row>
    <row r="129" ht="13.5" customHeight="1">
      <c r="A129" s="41"/>
      <c r="B129" s="41"/>
      <c r="C129" s="41"/>
      <c r="D129" s="41"/>
      <c r="E129" s="41"/>
      <c r="F129" s="41"/>
      <c r="G129" s="41"/>
      <c r="H129" s="41"/>
      <c r="I129" s="41"/>
      <c r="J129" s="41"/>
      <c r="K129" s="41"/>
      <c r="L129" s="41"/>
      <c r="M129" s="41"/>
      <c r="N129" s="41"/>
      <c r="O129" s="41"/>
      <c r="P129" s="41"/>
      <c r="Q129" s="41"/>
      <c r="R129" s="41"/>
      <c r="S129" s="41"/>
      <c r="T129" s="41"/>
      <c r="U129" s="41"/>
      <c r="V129" s="60"/>
      <c r="W129" s="41"/>
      <c r="X129" s="41"/>
      <c r="Y129" s="41"/>
      <c r="Z129" s="41"/>
      <c r="AA129" s="41"/>
      <c r="AB129" s="41"/>
      <c r="AC129" s="41"/>
      <c r="AD129" s="41"/>
      <c r="AE129" s="41"/>
      <c r="AF129" s="41"/>
      <c r="AG129" s="41"/>
      <c r="AH129" s="41"/>
      <c r="AI129" s="41"/>
      <c r="AJ129" s="41"/>
      <c r="AK129" s="41"/>
    </row>
    <row r="130" ht="13.5" customHeight="1">
      <c r="A130" s="41"/>
      <c r="B130" s="41"/>
      <c r="C130" s="41"/>
      <c r="D130" s="41"/>
      <c r="E130" s="41"/>
      <c r="F130" s="41"/>
      <c r="G130" s="41"/>
      <c r="H130" s="41"/>
      <c r="I130" s="41"/>
      <c r="J130" s="41"/>
      <c r="K130" s="41"/>
      <c r="L130" s="41"/>
      <c r="M130" s="41"/>
      <c r="N130" s="41"/>
      <c r="O130" s="41"/>
      <c r="P130" s="41"/>
      <c r="Q130" s="41"/>
      <c r="R130" s="41"/>
      <c r="S130" s="41"/>
      <c r="T130" s="41"/>
      <c r="U130" s="41"/>
      <c r="V130" s="60"/>
      <c r="W130" s="41"/>
      <c r="X130" s="41"/>
      <c r="Y130" s="41"/>
      <c r="Z130" s="41"/>
      <c r="AA130" s="41"/>
      <c r="AB130" s="41"/>
      <c r="AC130" s="41"/>
      <c r="AD130" s="41"/>
      <c r="AE130" s="41"/>
      <c r="AF130" s="41"/>
      <c r="AG130" s="41"/>
      <c r="AH130" s="41"/>
      <c r="AI130" s="41"/>
      <c r="AJ130" s="41"/>
      <c r="AK130" s="41"/>
    </row>
    <row r="131" ht="13.5" customHeight="1">
      <c r="A131" s="41"/>
      <c r="B131" s="41"/>
      <c r="C131" s="41"/>
      <c r="D131" s="41"/>
      <c r="E131" s="41"/>
      <c r="F131" s="41"/>
      <c r="G131" s="41"/>
      <c r="H131" s="41"/>
      <c r="I131" s="41"/>
      <c r="J131" s="41"/>
      <c r="K131" s="41"/>
      <c r="L131" s="41"/>
      <c r="M131" s="41"/>
      <c r="N131" s="41"/>
      <c r="O131" s="41"/>
      <c r="P131" s="41"/>
      <c r="Q131" s="41"/>
      <c r="R131" s="41"/>
      <c r="S131" s="41"/>
      <c r="T131" s="41"/>
      <c r="U131" s="41"/>
      <c r="V131" s="60"/>
      <c r="W131" s="41"/>
      <c r="X131" s="41"/>
      <c r="Y131" s="41"/>
      <c r="Z131" s="41"/>
      <c r="AA131" s="41"/>
      <c r="AB131" s="41"/>
      <c r="AC131" s="41"/>
      <c r="AD131" s="41"/>
      <c r="AE131" s="41"/>
      <c r="AF131" s="41"/>
      <c r="AG131" s="41"/>
      <c r="AH131" s="41"/>
      <c r="AI131" s="41"/>
      <c r="AJ131" s="41"/>
      <c r="AK131" s="41"/>
    </row>
    <row r="132" ht="13.5" customHeight="1">
      <c r="A132" s="41"/>
      <c r="B132" s="41"/>
      <c r="C132" s="41"/>
      <c r="D132" s="41"/>
      <c r="E132" s="41"/>
      <c r="F132" s="41"/>
      <c r="G132" s="41"/>
      <c r="H132" s="41"/>
      <c r="I132" s="41"/>
      <c r="J132" s="41"/>
      <c r="K132" s="41"/>
      <c r="L132" s="41"/>
      <c r="M132" s="41"/>
      <c r="N132" s="41"/>
      <c r="O132" s="41"/>
      <c r="P132" s="41"/>
      <c r="Q132" s="41"/>
      <c r="R132" s="41"/>
      <c r="S132" s="41"/>
      <c r="T132" s="41"/>
      <c r="U132" s="41"/>
      <c r="V132" s="60"/>
      <c r="W132" s="41"/>
      <c r="X132" s="41"/>
      <c r="Y132" s="41"/>
      <c r="Z132" s="41"/>
      <c r="AA132" s="41"/>
      <c r="AB132" s="41"/>
      <c r="AC132" s="41"/>
      <c r="AD132" s="41"/>
      <c r="AE132" s="41"/>
      <c r="AF132" s="41"/>
      <c r="AG132" s="41"/>
      <c r="AH132" s="41"/>
      <c r="AI132" s="41"/>
      <c r="AJ132" s="41"/>
      <c r="AK132" s="41"/>
    </row>
    <row r="133" ht="13.5" customHeight="1">
      <c r="A133" s="41"/>
      <c r="B133" s="41"/>
      <c r="C133" s="41"/>
      <c r="D133" s="41"/>
      <c r="E133" s="41"/>
      <c r="F133" s="41"/>
      <c r="G133" s="41"/>
      <c r="H133" s="41"/>
      <c r="I133" s="41"/>
      <c r="J133" s="41"/>
      <c r="K133" s="41"/>
      <c r="L133" s="41"/>
      <c r="M133" s="41"/>
      <c r="N133" s="41"/>
      <c r="O133" s="41"/>
      <c r="P133" s="41"/>
      <c r="Q133" s="41"/>
      <c r="R133" s="41"/>
      <c r="S133" s="41"/>
      <c r="T133" s="41"/>
      <c r="U133" s="41"/>
      <c r="V133" s="60"/>
      <c r="W133" s="41"/>
      <c r="X133" s="41"/>
      <c r="Y133" s="41"/>
      <c r="Z133" s="41"/>
      <c r="AA133" s="41"/>
      <c r="AB133" s="41"/>
      <c r="AC133" s="41"/>
      <c r="AD133" s="41"/>
      <c r="AE133" s="41"/>
      <c r="AF133" s="41"/>
      <c r="AG133" s="41"/>
      <c r="AH133" s="41"/>
      <c r="AI133" s="41"/>
      <c r="AJ133" s="41"/>
      <c r="AK133" s="41"/>
    </row>
    <row r="134" ht="13.5" customHeight="1">
      <c r="A134" s="41"/>
      <c r="B134" s="41"/>
      <c r="C134" s="41"/>
      <c r="D134" s="41"/>
      <c r="E134" s="41"/>
      <c r="F134" s="41"/>
      <c r="G134" s="41"/>
      <c r="H134" s="41"/>
      <c r="I134" s="41"/>
      <c r="J134" s="41"/>
      <c r="K134" s="41"/>
      <c r="L134" s="41"/>
      <c r="M134" s="41"/>
      <c r="N134" s="41"/>
      <c r="O134" s="41"/>
      <c r="P134" s="41"/>
      <c r="Q134" s="41"/>
      <c r="R134" s="41"/>
      <c r="S134" s="41"/>
      <c r="T134" s="41"/>
      <c r="U134" s="41"/>
      <c r="V134" s="60"/>
      <c r="W134" s="41"/>
      <c r="X134" s="41"/>
      <c r="Y134" s="41"/>
      <c r="Z134" s="41"/>
      <c r="AA134" s="41"/>
      <c r="AB134" s="41"/>
      <c r="AC134" s="41"/>
      <c r="AD134" s="41"/>
      <c r="AE134" s="41"/>
      <c r="AF134" s="41"/>
      <c r="AG134" s="41"/>
      <c r="AH134" s="41"/>
      <c r="AI134" s="41"/>
      <c r="AJ134" s="41"/>
      <c r="AK134" s="41"/>
    </row>
    <row r="135" ht="13.5" customHeight="1">
      <c r="A135" s="41"/>
      <c r="B135" s="41"/>
      <c r="C135" s="41"/>
      <c r="D135" s="41"/>
      <c r="E135" s="41"/>
      <c r="F135" s="41"/>
      <c r="G135" s="41"/>
      <c r="H135" s="41"/>
      <c r="I135" s="41"/>
      <c r="J135" s="41"/>
      <c r="K135" s="41"/>
      <c r="L135" s="41"/>
      <c r="M135" s="41"/>
      <c r="N135" s="41"/>
      <c r="O135" s="41"/>
      <c r="P135" s="41"/>
      <c r="Q135" s="41"/>
      <c r="R135" s="41"/>
      <c r="S135" s="41"/>
      <c r="T135" s="41"/>
      <c r="U135" s="41"/>
      <c r="V135" s="60"/>
      <c r="W135" s="41"/>
      <c r="X135" s="41"/>
      <c r="Y135" s="41"/>
      <c r="Z135" s="41"/>
      <c r="AA135" s="41"/>
      <c r="AB135" s="41"/>
      <c r="AC135" s="41"/>
      <c r="AD135" s="41"/>
      <c r="AE135" s="41"/>
      <c r="AF135" s="41"/>
      <c r="AG135" s="41"/>
      <c r="AH135" s="41"/>
      <c r="AI135" s="41"/>
      <c r="AJ135" s="41"/>
      <c r="AK135" s="41"/>
    </row>
    <row r="136" ht="13.5" customHeight="1">
      <c r="A136" s="41"/>
      <c r="B136" s="41"/>
      <c r="C136" s="41"/>
      <c r="D136" s="41"/>
      <c r="E136" s="41"/>
      <c r="F136" s="41"/>
      <c r="G136" s="41"/>
      <c r="H136" s="41"/>
      <c r="I136" s="41"/>
      <c r="J136" s="41"/>
      <c r="K136" s="41"/>
      <c r="L136" s="41"/>
      <c r="M136" s="41"/>
      <c r="N136" s="41"/>
      <c r="O136" s="41"/>
      <c r="P136" s="41"/>
      <c r="Q136" s="41"/>
      <c r="R136" s="41"/>
      <c r="S136" s="41"/>
      <c r="T136" s="41"/>
      <c r="U136" s="41"/>
      <c r="V136" s="60"/>
      <c r="W136" s="41"/>
      <c r="X136" s="41"/>
      <c r="Y136" s="41"/>
      <c r="Z136" s="41"/>
      <c r="AA136" s="41"/>
      <c r="AB136" s="41"/>
      <c r="AC136" s="41"/>
      <c r="AD136" s="41"/>
      <c r="AE136" s="41"/>
      <c r="AF136" s="41"/>
      <c r="AG136" s="41"/>
      <c r="AH136" s="41"/>
      <c r="AI136" s="41"/>
      <c r="AJ136" s="41"/>
      <c r="AK136" s="41"/>
    </row>
    <row r="137" ht="13.5" customHeight="1">
      <c r="A137" s="41"/>
      <c r="B137" s="41"/>
      <c r="C137" s="41"/>
      <c r="D137" s="41"/>
      <c r="E137" s="41"/>
      <c r="F137" s="41"/>
      <c r="G137" s="41"/>
      <c r="H137" s="41"/>
      <c r="I137" s="41"/>
      <c r="J137" s="41"/>
      <c r="K137" s="41"/>
      <c r="L137" s="41"/>
      <c r="M137" s="41"/>
      <c r="N137" s="41"/>
      <c r="O137" s="41"/>
      <c r="P137" s="41"/>
      <c r="Q137" s="41"/>
      <c r="R137" s="41"/>
      <c r="S137" s="41"/>
      <c r="T137" s="41"/>
      <c r="U137" s="41"/>
      <c r="V137" s="60"/>
      <c r="W137" s="41"/>
      <c r="X137" s="41"/>
      <c r="Y137" s="41"/>
      <c r="Z137" s="41"/>
      <c r="AA137" s="41"/>
      <c r="AB137" s="41"/>
      <c r="AC137" s="41"/>
      <c r="AD137" s="41"/>
      <c r="AE137" s="41"/>
      <c r="AF137" s="41"/>
      <c r="AG137" s="41"/>
      <c r="AH137" s="41"/>
      <c r="AI137" s="41"/>
      <c r="AJ137" s="41"/>
      <c r="AK137" s="41"/>
    </row>
    <row r="138" ht="13.5" customHeight="1">
      <c r="A138" s="41"/>
      <c r="B138" s="41"/>
      <c r="C138" s="41"/>
      <c r="D138" s="41"/>
      <c r="E138" s="41"/>
      <c r="F138" s="41"/>
      <c r="G138" s="41"/>
      <c r="H138" s="41"/>
      <c r="I138" s="41"/>
      <c r="J138" s="41"/>
      <c r="K138" s="41"/>
      <c r="L138" s="41"/>
      <c r="M138" s="41"/>
      <c r="N138" s="41"/>
      <c r="O138" s="41"/>
      <c r="P138" s="41"/>
      <c r="Q138" s="41"/>
      <c r="R138" s="41"/>
      <c r="S138" s="41"/>
      <c r="T138" s="41"/>
      <c r="U138" s="41"/>
      <c r="V138" s="60"/>
      <c r="W138" s="41"/>
      <c r="X138" s="41"/>
      <c r="Y138" s="41"/>
      <c r="Z138" s="41"/>
      <c r="AA138" s="41"/>
      <c r="AB138" s="41"/>
      <c r="AC138" s="41"/>
      <c r="AD138" s="41"/>
      <c r="AE138" s="41"/>
      <c r="AF138" s="41"/>
      <c r="AG138" s="41"/>
      <c r="AH138" s="41"/>
      <c r="AI138" s="41"/>
      <c r="AJ138" s="41"/>
      <c r="AK138" s="41"/>
    </row>
    <row r="139" ht="13.5" customHeight="1">
      <c r="A139" s="41"/>
      <c r="B139" s="41"/>
      <c r="C139" s="41"/>
      <c r="D139" s="41"/>
      <c r="E139" s="41"/>
      <c r="F139" s="41"/>
      <c r="G139" s="41"/>
      <c r="H139" s="41"/>
      <c r="I139" s="41"/>
      <c r="J139" s="41"/>
      <c r="K139" s="41"/>
      <c r="L139" s="41"/>
      <c r="M139" s="41"/>
      <c r="N139" s="41"/>
      <c r="O139" s="41"/>
      <c r="P139" s="41"/>
      <c r="Q139" s="41"/>
      <c r="R139" s="41"/>
      <c r="S139" s="41"/>
      <c r="T139" s="41"/>
      <c r="U139" s="41"/>
      <c r="V139" s="60"/>
      <c r="W139" s="41"/>
      <c r="X139" s="41"/>
      <c r="Y139" s="41"/>
      <c r="Z139" s="41"/>
      <c r="AA139" s="41"/>
      <c r="AB139" s="41"/>
      <c r="AC139" s="41"/>
      <c r="AD139" s="41"/>
      <c r="AE139" s="41"/>
      <c r="AF139" s="41"/>
      <c r="AG139" s="41"/>
      <c r="AH139" s="41"/>
      <c r="AI139" s="41"/>
      <c r="AJ139" s="41"/>
      <c r="AK139" s="41"/>
    </row>
    <row r="140" ht="13.5" customHeight="1">
      <c r="A140" s="41"/>
      <c r="B140" s="41"/>
      <c r="C140" s="41"/>
      <c r="D140" s="41"/>
      <c r="E140" s="41"/>
      <c r="F140" s="41"/>
      <c r="G140" s="41"/>
      <c r="H140" s="41"/>
      <c r="I140" s="41"/>
      <c r="J140" s="41"/>
      <c r="K140" s="41"/>
      <c r="L140" s="41"/>
      <c r="M140" s="41"/>
      <c r="N140" s="41"/>
      <c r="O140" s="41"/>
      <c r="P140" s="41"/>
      <c r="Q140" s="41"/>
      <c r="R140" s="41"/>
      <c r="S140" s="41"/>
      <c r="T140" s="41"/>
      <c r="U140" s="41"/>
      <c r="V140" s="60"/>
      <c r="W140" s="41"/>
      <c r="X140" s="41"/>
      <c r="Y140" s="41"/>
      <c r="Z140" s="41"/>
      <c r="AA140" s="41"/>
      <c r="AB140" s="41"/>
      <c r="AC140" s="41"/>
      <c r="AD140" s="41"/>
      <c r="AE140" s="41"/>
      <c r="AF140" s="41"/>
      <c r="AG140" s="41"/>
      <c r="AH140" s="41"/>
      <c r="AI140" s="41"/>
      <c r="AJ140" s="41"/>
      <c r="AK140" s="41"/>
    </row>
    <row r="141" ht="13.5" customHeight="1">
      <c r="A141" s="41"/>
      <c r="B141" s="41"/>
      <c r="C141" s="41"/>
      <c r="D141" s="41"/>
      <c r="E141" s="41"/>
      <c r="F141" s="41"/>
      <c r="G141" s="41"/>
      <c r="H141" s="41"/>
      <c r="I141" s="41"/>
      <c r="J141" s="41"/>
      <c r="K141" s="41"/>
      <c r="L141" s="41"/>
      <c r="M141" s="41"/>
      <c r="N141" s="41"/>
      <c r="O141" s="41"/>
      <c r="P141" s="41"/>
      <c r="Q141" s="41"/>
      <c r="R141" s="41"/>
      <c r="S141" s="41"/>
      <c r="T141" s="41"/>
      <c r="U141" s="41"/>
      <c r="V141" s="60"/>
      <c r="W141" s="41"/>
      <c r="X141" s="41"/>
      <c r="Y141" s="41"/>
      <c r="Z141" s="41"/>
      <c r="AA141" s="41"/>
      <c r="AB141" s="41"/>
      <c r="AC141" s="41"/>
      <c r="AD141" s="41"/>
      <c r="AE141" s="41"/>
      <c r="AF141" s="41"/>
      <c r="AG141" s="41"/>
      <c r="AH141" s="41"/>
      <c r="AI141" s="41"/>
      <c r="AJ141" s="41"/>
      <c r="AK141" s="41"/>
    </row>
    <row r="142" ht="13.5" customHeight="1">
      <c r="A142" s="41"/>
      <c r="B142" s="41"/>
      <c r="C142" s="41"/>
      <c r="D142" s="41"/>
      <c r="E142" s="41"/>
      <c r="F142" s="41"/>
      <c r="G142" s="41"/>
      <c r="H142" s="41"/>
      <c r="I142" s="41"/>
      <c r="J142" s="41"/>
      <c r="K142" s="41"/>
      <c r="L142" s="41"/>
      <c r="M142" s="41"/>
      <c r="N142" s="41"/>
      <c r="O142" s="41"/>
      <c r="P142" s="41"/>
      <c r="Q142" s="41"/>
      <c r="R142" s="41"/>
      <c r="S142" s="41"/>
      <c r="T142" s="41"/>
      <c r="U142" s="41"/>
      <c r="V142" s="60"/>
      <c r="W142" s="41"/>
      <c r="X142" s="41"/>
      <c r="Y142" s="41"/>
      <c r="Z142" s="41"/>
      <c r="AA142" s="41"/>
      <c r="AB142" s="41"/>
      <c r="AC142" s="41"/>
      <c r="AD142" s="41"/>
      <c r="AE142" s="41"/>
      <c r="AF142" s="41"/>
      <c r="AG142" s="41"/>
      <c r="AH142" s="41"/>
      <c r="AI142" s="41"/>
      <c r="AJ142" s="41"/>
      <c r="AK142" s="41"/>
    </row>
    <row r="143" ht="13.5" customHeight="1">
      <c r="A143" s="41"/>
      <c r="B143" s="41"/>
      <c r="C143" s="41"/>
      <c r="D143" s="41"/>
      <c r="E143" s="41"/>
      <c r="F143" s="41"/>
      <c r="G143" s="41"/>
      <c r="H143" s="41"/>
      <c r="I143" s="41"/>
      <c r="J143" s="41"/>
      <c r="K143" s="41"/>
      <c r="L143" s="41"/>
      <c r="M143" s="41"/>
      <c r="N143" s="41"/>
      <c r="O143" s="41"/>
      <c r="P143" s="41"/>
      <c r="Q143" s="41"/>
      <c r="R143" s="41"/>
      <c r="S143" s="41"/>
      <c r="T143" s="41"/>
      <c r="U143" s="41"/>
      <c r="V143" s="60"/>
      <c r="W143" s="41"/>
      <c r="X143" s="41"/>
      <c r="Y143" s="41"/>
      <c r="Z143" s="41"/>
      <c r="AA143" s="41"/>
      <c r="AB143" s="41"/>
      <c r="AC143" s="41"/>
      <c r="AD143" s="41"/>
      <c r="AE143" s="41"/>
      <c r="AF143" s="41"/>
      <c r="AG143" s="41"/>
      <c r="AH143" s="41"/>
      <c r="AI143" s="41"/>
      <c r="AJ143" s="41"/>
      <c r="AK143" s="41"/>
    </row>
    <row r="144" ht="13.5" customHeight="1">
      <c r="A144" s="41"/>
      <c r="B144" s="41"/>
      <c r="C144" s="41"/>
      <c r="D144" s="41"/>
      <c r="E144" s="41"/>
      <c r="F144" s="41"/>
      <c r="G144" s="41"/>
      <c r="H144" s="41"/>
      <c r="I144" s="41"/>
      <c r="J144" s="41"/>
      <c r="K144" s="41"/>
      <c r="L144" s="41"/>
      <c r="M144" s="41"/>
      <c r="N144" s="41"/>
      <c r="O144" s="41"/>
      <c r="P144" s="41"/>
      <c r="Q144" s="41"/>
      <c r="R144" s="41"/>
      <c r="S144" s="41"/>
      <c r="T144" s="41"/>
      <c r="U144" s="41"/>
      <c r="V144" s="60"/>
      <c r="W144" s="41"/>
      <c r="X144" s="41"/>
      <c r="Y144" s="41"/>
      <c r="Z144" s="41"/>
      <c r="AA144" s="41"/>
      <c r="AB144" s="41"/>
      <c r="AC144" s="41"/>
      <c r="AD144" s="41"/>
      <c r="AE144" s="41"/>
      <c r="AF144" s="41"/>
      <c r="AG144" s="41"/>
      <c r="AH144" s="41"/>
      <c r="AI144" s="41"/>
      <c r="AJ144" s="41"/>
      <c r="AK144" s="41"/>
    </row>
    <row r="145" ht="13.5" customHeight="1">
      <c r="A145" s="41"/>
      <c r="B145" s="41"/>
      <c r="C145" s="41"/>
      <c r="D145" s="41"/>
      <c r="E145" s="41"/>
      <c r="F145" s="41"/>
      <c r="G145" s="41"/>
      <c r="H145" s="41"/>
      <c r="I145" s="41"/>
      <c r="J145" s="41"/>
      <c r="K145" s="41"/>
      <c r="L145" s="41"/>
      <c r="M145" s="41"/>
      <c r="N145" s="41"/>
      <c r="O145" s="41"/>
      <c r="P145" s="41"/>
      <c r="Q145" s="41"/>
      <c r="R145" s="41"/>
      <c r="S145" s="41"/>
      <c r="T145" s="41"/>
      <c r="U145" s="41"/>
      <c r="V145" s="60"/>
      <c r="W145" s="41"/>
      <c r="X145" s="41"/>
      <c r="Y145" s="41"/>
      <c r="Z145" s="41"/>
      <c r="AA145" s="41"/>
      <c r="AB145" s="41"/>
      <c r="AC145" s="41"/>
      <c r="AD145" s="41"/>
      <c r="AE145" s="41"/>
      <c r="AF145" s="41"/>
      <c r="AG145" s="41"/>
      <c r="AH145" s="41"/>
      <c r="AI145" s="41"/>
      <c r="AJ145" s="41"/>
      <c r="AK145" s="41"/>
    </row>
    <row r="146" ht="13.5" customHeight="1">
      <c r="A146" s="41"/>
      <c r="B146" s="41"/>
      <c r="C146" s="41"/>
      <c r="D146" s="41"/>
      <c r="E146" s="41"/>
      <c r="F146" s="41"/>
      <c r="G146" s="41"/>
      <c r="H146" s="41"/>
      <c r="I146" s="41"/>
      <c r="J146" s="41"/>
      <c r="K146" s="41"/>
      <c r="L146" s="41"/>
      <c r="M146" s="41"/>
      <c r="N146" s="41"/>
      <c r="O146" s="41"/>
      <c r="P146" s="41"/>
      <c r="Q146" s="41"/>
      <c r="R146" s="41"/>
      <c r="S146" s="41"/>
      <c r="T146" s="41"/>
      <c r="U146" s="41"/>
      <c r="V146" s="60"/>
      <c r="W146" s="41"/>
      <c r="X146" s="41"/>
      <c r="Y146" s="41"/>
      <c r="Z146" s="41"/>
      <c r="AA146" s="41"/>
      <c r="AB146" s="41"/>
      <c r="AC146" s="41"/>
      <c r="AD146" s="41"/>
      <c r="AE146" s="41"/>
      <c r="AF146" s="41"/>
      <c r="AG146" s="41"/>
      <c r="AH146" s="41"/>
      <c r="AI146" s="41"/>
      <c r="AJ146" s="41"/>
      <c r="AK146" s="41"/>
    </row>
    <row r="147" ht="13.5" customHeight="1">
      <c r="A147" s="41"/>
      <c r="B147" s="41"/>
      <c r="C147" s="41"/>
      <c r="D147" s="41"/>
      <c r="E147" s="41"/>
      <c r="F147" s="41"/>
      <c r="G147" s="41"/>
      <c r="H147" s="41"/>
      <c r="I147" s="41"/>
      <c r="J147" s="41"/>
      <c r="K147" s="41"/>
      <c r="L147" s="41"/>
      <c r="M147" s="41"/>
      <c r="N147" s="41"/>
      <c r="O147" s="41"/>
      <c r="P147" s="41"/>
      <c r="Q147" s="41"/>
      <c r="R147" s="41"/>
      <c r="S147" s="41"/>
      <c r="T147" s="41"/>
      <c r="U147" s="41"/>
      <c r="V147" s="60"/>
      <c r="W147" s="41"/>
      <c r="X147" s="41"/>
      <c r="Y147" s="41"/>
      <c r="Z147" s="41"/>
      <c r="AA147" s="41"/>
      <c r="AB147" s="41"/>
      <c r="AC147" s="41"/>
      <c r="AD147" s="41"/>
      <c r="AE147" s="41"/>
      <c r="AF147" s="41"/>
      <c r="AG147" s="41"/>
      <c r="AH147" s="41"/>
      <c r="AI147" s="41"/>
      <c r="AJ147" s="41"/>
      <c r="AK147" s="41"/>
    </row>
    <row r="148" ht="13.5" customHeight="1">
      <c r="A148" s="41"/>
      <c r="B148" s="41"/>
      <c r="C148" s="41"/>
      <c r="D148" s="41"/>
      <c r="E148" s="41"/>
      <c r="F148" s="41"/>
      <c r="G148" s="41"/>
      <c r="H148" s="41"/>
      <c r="I148" s="41"/>
      <c r="J148" s="41"/>
      <c r="K148" s="41"/>
      <c r="L148" s="41"/>
      <c r="M148" s="41"/>
      <c r="N148" s="41"/>
      <c r="O148" s="41"/>
      <c r="P148" s="41"/>
      <c r="Q148" s="41"/>
      <c r="R148" s="41"/>
      <c r="S148" s="41"/>
      <c r="T148" s="41"/>
      <c r="U148" s="41"/>
      <c r="V148" s="60"/>
      <c r="W148" s="41"/>
      <c r="X148" s="41"/>
      <c r="Y148" s="41"/>
      <c r="Z148" s="41"/>
      <c r="AA148" s="41"/>
      <c r="AB148" s="41"/>
      <c r="AC148" s="41"/>
      <c r="AD148" s="41"/>
      <c r="AE148" s="41"/>
      <c r="AF148" s="41"/>
      <c r="AG148" s="41"/>
      <c r="AH148" s="41"/>
      <c r="AI148" s="41"/>
      <c r="AJ148" s="41"/>
      <c r="AK148" s="41"/>
    </row>
    <row r="149" ht="13.5" customHeight="1">
      <c r="A149" s="41"/>
      <c r="B149" s="41"/>
      <c r="C149" s="41"/>
      <c r="D149" s="41"/>
      <c r="E149" s="41"/>
      <c r="F149" s="41"/>
      <c r="G149" s="41"/>
      <c r="H149" s="41"/>
      <c r="I149" s="41"/>
      <c r="J149" s="41"/>
      <c r="K149" s="41"/>
      <c r="L149" s="41"/>
      <c r="M149" s="41"/>
      <c r="N149" s="41"/>
      <c r="O149" s="41"/>
      <c r="P149" s="41"/>
      <c r="Q149" s="41"/>
      <c r="R149" s="41"/>
      <c r="S149" s="41"/>
      <c r="T149" s="41"/>
      <c r="U149" s="41"/>
      <c r="V149" s="60"/>
      <c r="W149" s="41"/>
      <c r="X149" s="41"/>
      <c r="Y149" s="41"/>
      <c r="Z149" s="41"/>
      <c r="AA149" s="41"/>
      <c r="AB149" s="41"/>
      <c r="AC149" s="41"/>
      <c r="AD149" s="41"/>
      <c r="AE149" s="41"/>
      <c r="AF149" s="41"/>
      <c r="AG149" s="41"/>
      <c r="AH149" s="41"/>
      <c r="AI149" s="41"/>
      <c r="AJ149" s="41"/>
      <c r="AK149" s="41"/>
    </row>
    <row r="150" ht="13.5" customHeight="1">
      <c r="A150" s="41"/>
      <c r="B150" s="41"/>
      <c r="C150" s="41"/>
      <c r="D150" s="41"/>
      <c r="E150" s="41"/>
      <c r="F150" s="41"/>
      <c r="G150" s="41"/>
      <c r="H150" s="41"/>
      <c r="I150" s="41"/>
      <c r="J150" s="41"/>
      <c r="K150" s="41"/>
      <c r="L150" s="41"/>
      <c r="M150" s="41"/>
      <c r="N150" s="41"/>
      <c r="O150" s="41"/>
      <c r="P150" s="41"/>
      <c r="Q150" s="41"/>
      <c r="R150" s="41"/>
      <c r="S150" s="41"/>
      <c r="T150" s="41"/>
      <c r="U150" s="41"/>
      <c r="V150" s="60"/>
      <c r="W150" s="41"/>
      <c r="X150" s="41"/>
      <c r="Y150" s="41"/>
      <c r="Z150" s="41"/>
      <c r="AA150" s="41"/>
      <c r="AB150" s="41"/>
      <c r="AC150" s="41"/>
      <c r="AD150" s="41"/>
      <c r="AE150" s="41"/>
      <c r="AF150" s="41"/>
      <c r="AG150" s="41"/>
      <c r="AH150" s="41"/>
      <c r="AI150" s="41"/>
      <c r="AJ150" s="41"/>
      <c r="AK150" s="41"/>
    </row>
    <row r="151" ht="13.5" customHeight="1">
      <c r="A151" s="41"/>
      <c r="B151" s="41"/>
      <c r="C151" s="41"/>
      <c r="D151" s="41"/>
      <c r="E151" s="41"/>
      <c r="F151" s="41"/>
      <c r="G151" s="41"/>
      <c r="H151" s="41"/>
      <c r="I151" s="41"/>
      <c r="J151" s="41"/>
      <c r="K151" s="41"/>
      <c r="L151" s="41"/>
      <c r="M151" s="41"/>
      <c r="N151" s="41"/>
      <c r="O151" s="41"/>
      <c r="P151" s="41"/>
      <c r="Q151" s="41"/>
      <c r="R151" s="41"/>
      <c r="S151" s="41"/>
      <c r="T151" s="41"/>
      <c r="U151" s="41"/>
      <c r="V151" s="60"/>
      <c r="W151" s="41"/>
      <c r="X151" s="41"/>
      <c r="Y151" s="41"/>
      <c r="Z151" s="41"/>
      <c r="AA151" s="41"/>
      <c r="AB151" s="41"/>
      <c r="AC151" s="41"/>
      <c r="AD151" s="41"/>
      <c r="AE151" s="41"/>
      <c r="AF151" s="41"/>
      <c r="AG151" s="41"/>
      <c r="AH151" s="41"/>
      <c r="AI151" s="41"/>
      <c r="AJ151" s="41"/>
      <c r="AK151" s="41"/>
    </row>
    <row r="152" ht="13.5" customHeight="1">
      <c r="A152" s="41"/>
      <c r="B152" s="41"/>
      <c r="C152" s="41"/>
      <c r="D152" s="41"/>
      <c r="E152" s="41"/>
      <c r="F152" s="41"/>
      <c r="G152" s="41"/>
      <c r="H152" s="41"/>
      <c r="I152" s="41"/>
      <c r="J152" s="41"/>
      <c r="K152" s="41"/>
      <c r="L152" s="41"/>
      <c r="M152" s="41"/>
      <c r="N152" s="41"/>
      <c r="O152" s="41"/>
      <c r="P152" s="41"/>
      <c r="Q152" s="41"/>
      <c r="R152" s="41"/>
      <c r="S152" s="41"/>
      <c r="T152" s="41"/>
      <c r="U152" s="41"/>
      <c r="V152" s="60"/>
      <c r="W152" s="41"/>
      <c r="X152" s="41"/>
      <c r="Y152" s="41"/>
      <c r="Z152" s="41"/>
      <c r="AA152" s="41"/>
      <c r="AB152" s="41"/>
      <c r="AC152" s="41"/>
      <c r="AD152" s="41"/>
      <c r="AE152" s="41"/>
      <c r="AF152" s="41"/>
      <c r="AG152" s="41"/>
      <c r="AH152" s="41"/>
      <c r="AI152" s="41"/>
      <c r="AJ152" s="41"/>
      <c r="AK152" s="41"/>
    </row>
    <row r="153" ht="13.5" customHeight="1">
      <c r="A153" s="41"/>
      <c r="B153" s="41"/>
      <c r="C153" s="41"/>
      <c r="D153" s="41"/>
      <c r="E153" s="41"/>
      <c r="F153" s="41"/>
      <c r="G153" s="41"/>
      <c r="H153" s="41"/>
      <c r="I153" s="41"/>
      <c r="J153" s="41"/>
      <c r="K153" s="41"/>
      <c r="L153" s="41"/>
      <c r="M153" s="41"/>
      <c r="N153" s="41"/>
      <c r="O153" s="41"/>
      <c r="P153" s="41"/>
      <c r="Q153" s="41"/>
      <c r="R153" s="41"/>
      <c r="S153" s="41"/>
      <c r="T153" s="41"/>
      <c r="U153" s="41"/>
      <c r="V153" s="60"/>
      <c r="W153" s="41"/>
      <c r="X153" s="41"/>
      <c r="Y153" s="41"/>
      <c r="Z153" s="41"/>
      <c r="AA153" s="41"/>
      <c r="AB153" s="41"/>
      <c r="AC153" s="41"/>
      <c r="AD153" s="41"/>
      <c r="AE153" s="41"/>
      <c r="AF153" s="41"/>
      <c r="AG153" s="41"/>
      <c r="AH153" s="41"/>
      <c r="AI153" s="41"/>
      <c r="AJ153" s="41"/>
      <c r="AK153" s="41"/>
    </row>
    <row r="154" ht="13.5" customHeight="1">
      <c r="A154" s="41"/>
      <c r="B154" s="41"/>
      <c r="C154" s="41"/>
      <c r="D154" s="41"/>
      <c r="E154" s="41"/>
      <c r="F154" s="41"/>
      <c r="G154" s="41"/>
      <c r="H154" s="41"/>
      <c r="I154" s="41"/>
      <c r="J154" s="41"/>
      <c r="K154" s="41"/>
      <c r="L154" s="41"/>
      <c r="M154" s="41"/>
      <c r="N154" s="41"/>
      <c r="O154" s="41"/>
      <c r="P154" s="41"/>
      <c r="Q154" s="41"/>
      <c r="R154" s="41"/>
      <c r="S154" s="41"/>
      <c r="T154" s="41"/>
      <c r="U154" s="41"/>
      <c r="V154" s="60"/>
      <c r="W154" s="41"/>
      <c r="X154" s="41"/>
      <c r="Y154" s="41"/>
      <c r="Z154" s="41"/>
      <c r="AA154" s="41"/>
      <c r="AB154" s="41"/>
      <c r="AC154" s="41"/>
      <c r="AD154" s="41"/>
      <c r="AE154" s="41"/>
      <c r="AF154" s="41"/>
      <c r="AG154" s="41"/>
      <c r="AH154" s="41"/>
      <c r="AI154" s="41"/>
      <c r="AJ154" s="41"/>
      <c r="AK154" s="41"/>
    </row>
    <row r="155" ht="13.5" customHeight="1">
      <c r="A155" s="41"/>
      <c r="B155" s="41"/>
      <c r="C155" s="41"/>
      <c r="D155" s="41"/>
      <c r="E155" s="41"/>
      <c r="F155" s="41"/>
      <c r="G155" s="41"/>
      <c r="H155" s="41"/>
      <c r="I155" s="41"/>
      <c r="J155" s="41"/>
      <c r="K155" s="41"/>
      <c r="L155" s="41"/>
      <c r="M155" s="41"/>
      <c r="N155" s="41"/>
      <c r="O155" s="41"/>
      <c r="P155" s="41"/>
      <c r="Q155" s="41"/>
      <c r="R155" s="41"/>
      <c r="S155" s="41"/>
      <c r="T155" s="41"/>
      <c r="U155" s="41"/>
      <c r="V155" s="60"/>
      <c r="W155" s="41"/>
      <c r="X155" s="41"/>
      <c r="Y155" s="41"/>
      <c r="Z155" s="41"/>
      <c r="AA155" s="41"/>
      <c r="AB155" s="41"/>
      <c r="AC155" s="41"/>
      <c r="AD155" s="41"/>
      <c r="AE155" s="41"/>
      <c r="AF155" s="41"/>
      <c r="AG155" s="41"/>
      <c r="AH155" s="41"/>
      <c r="AI155" s="41"/>
      <c r="AJ155" s="41"/>
      <c r="AK155" s="41"/>
    </row>
    <row r="156" ht="13.5" customHeight="1">
      <c r="A156" s="41"/>
      <c r="B156" s="41"/>
      <c r="C156" s="41"/>
      <c r="D156" s="41"/>
      <c r="E156" s="41"/>
      <c r="F156" s="41"/>
      <c r="G156" s="41"/>
      <c r="H156" s="41"/>
      <c r="I156" s="41"/>
      <c r="J156" s="41"/>
      <c r="K156" s="41"/>
      <c r="L156" s="41"/>
      <c r="M156" s="41"/>
      <c r="N156" s="41"/>
      <c r="O156" s="41"/>
      <c r="P156" s="41"/>
      <c r="Q156" s="41"/>
      <c r="R156" s="41"/>
      <c r="S156" s="41"/>
      <c r="T156" s="41"/>
      <c r="U156" s="41"/>
      <c r="V156" s="60"/>
      <c r="W156" s="41"/>
      <c r="X156" s="41"/>
      <c r="Y156" s="41"/>
      <c r="Z156" s="41"/>
      <c r="AA156" s="41"/>
      <c r="AB156" s="41"/>
      <c r="AC156" s="41"/>
      <c r="AD156" s="41"/>
      <c r="AE156" s="41"/>
      <c r="AF156" s="41"/>
      <c r="AG156" s="41"/>
      <c r="AH156" s="41"/>
      <c r="AI156" s="41"/>
      <c r="AJ156" s="41"/>
      <c r="AK156" s="41"/>
    </row>
    <row r="157" ht="13.5" customHeight="1">
      <c r="A157" s="41"/>
      <c r="B157" s="41"/>
      <c r="C157" s="41"/>
      <c r="D157" s="41"/>
      <c r="E157" s="41"/>
      <c r="F157" s="41"/>
      <c r="G157" s="41"/>
      <c r="H157" s="41"/>
      <c r="I157" s="41"/>
      <c r="J157" s="41"/>
      <c r="K157" s="41"/>
      <c r="L157" s="41"/>
      <c r="M157" s="41"/>
      <c r="N157" s="41"/>
      <c r="O157" s="41"/>
      <c r="P157" s="41"/>
      <c r="Q157" s="41"/>
      <c r="R157" s="41"/>
      <c r="S157" s="41"/>
      <c r="T157" s="41"/>
      <c r="U157" s="41"/>
      <c r="V157" s="60"/>
      <c r="W157" s="41"/>
      <c r="X157" s="41"/>
      <c r="Y157" s="41"/>
      <c r="Z157" s="41"/>
      <c r="AA157" s="41"/>
      <c r="AB157" s="41"/>
      <c r="AC157" s="41"/>
      <c r="AD157" s="41"/>
      <c r="AE157" s="41"/>
      <c r="AF157" s="41"/>
      <c r="AG157" s="41"/>
      <c r="AH157" s="41"/>
      <c r="AI157" s="41"/>
      <c r="AJ157" s="41"/>
      <c r="AK157" s="41"/>
    </row>
    <row r="158" ht="13.5" customHeight="1">
      <c r="A158" s="41"/>
      <c r="B158" s="41"/>
      <c r="C158" s="41"/>
      <c r="D158" s="41"/>
      <c r="E158" s="41"/>
      <c r="F158" s="41"/>
      <c r="G158" s="41"/>
      <c r="H158" s="41"/>
      <c r="I158" s="41"/>
      <c r="J158" s="41"/>
      <c r="K158" s="41"/>
      <c r="L158" s="41"/>
      <c r="M158" s="41"/>
      <c r="N158" s="41"/>
      <c r="O158" s="41"/>
      <c r="P158" s="41"/>
      <c r="Q158" s="41"/>
      <c r="R158" s="41"/>
      <c r="S158" s="41"/>
      <c r="T158" s="41"/>
      <c r="U158" s="41"/>
      <c r="V158" s="60"/>
      <c r="W158" s="41"/>
      <c r="X158" s="41"/>
      <c r="Y158" s="41"/>
      <c r="Z158" s="41"/>
      <c r="AA158" s="41"/>
      <c r="AB158" s="41"/>
      <c r="AC158" s="41"/>
      <c r="AD158" s="41"/>
      <c r="AE158" s="41"/>
      <c r="AF158" s="41"/>
      <c r="AG158" s="41"/>
      <c r="AH158" s="41"/>
      <c r="AI158" s="41"/>
      <c r="AJ158" s="41"/>
      <c r="AK158" s="41"/>
    </row>
    <row r="159" ht="13.5" customHeight="1">
      <c r="A159" s="41"/>
      <c r="B159" s="41"/>
      <c r="C159" s="41"/>
      <c r="D159" s="41"/>
      <c r="E159" s="41"/>
      <c r="F159" s="41"/>
      <c r="G159" s="41"/>
      <c r="H159" s="41"/>
      <c r="I159" s="41"/>
      <c r="J159" s="41"/>
      <c r="K159" s="41"/>
      <c r="L159" s="41"/>
      <c r="M159" s="41"/>
      <c r="N159" s="41"/>
      <c r="O159" s="41"/>
      <c r="P159" s="41"/>
      <c r="Q159" s="41"/>
      <c r="R159" s="41"/>
      <c r="S159" s="41"/>
      <c r="T159" s="41"/>
      <c r="U159" s="41"/>
      <c r="V159" s="60"/>
      <c r="W159" s="41"/>
      <c r="X159" s="41"/>
      <c r="Y159" s="41"/>
      <c r="Z159" s="41"/>
      <c r="AA159" s="41"/>
      <c r="AB159" s="41"/>
      <c r="AC159" s="41"/>
      <c r="AD159" s="41"/>
      <c r="AE159" s="41"/>
      <c r="AF159" s="41"/>
      <c r="AG159" s="41"/>
      <c r="AH159" s="41"/>
      <c r="AI159" s="41"/>
      <c r="AJ159" s="41"/>
      <c r="AK159" s="41"/>
    </row>
    <row r="160" ht="13.5" customHeight="1">
      <c r="A160" s="41"/>
      <c r="B160" s="41"/>
      <c r="C160" s="41"/>
      <c r="D160" s="41"/>
      <c r="E160" s="41"/>
      <c r="F160" s="41"/>
      <c r="G160" s="41"/>
      <c r="H160" s="41"/>
      <c r="I160" s="41"/>
      <c r="J160" s="41"/>
      <c r="K160" s="41"/>
      <c r="L160" s="41"/>
      <c r="M160" s="41"/>
      <c r="N160" s="41"/>
      <c r="O160" s="41"/>
      <c r="P160" s="41"/>
      <c r="Q160" s="41"/>
      <c r="R160" s="41"/>
      <c r="S160" s="41"/>
      <c r="T160" s="41"/>
      <c r="U160" s="41"/>
      <c r="V160" s="60"/>
      <c r="W160" s="41"/>
      <c r="X160" s="41"/>
      <c r="Y160" s="41"/>
      <c r="Z160" s="41"/>
      <c r="AA160" s="41"/>
      <c r="AB160" s="41"/>
      <c r="AC160" s="41"/>
      <c r="AD160" s="41"/>
      <c r="AE160" s="41"/>
      <c r="AF160" s="41"/>
      <c r="AG160" s="41"/>
      <c r="AH160" s="41"/>
      <c r="AI160" s="41"/>
      <c r="AJ160" s="41"/>
      <c r="AK160" s="41"/>
    </row>
    <row r="161" ht="13.5" customHeight="1">
      <c r="A161" s="41"/>
      <c r="B161" s="41"/>
      <c r="C161" s="41"/>
      <c r="D161" s="41"/>
      <c r="E161" s="41"/>
      <c r="F161" s="41"/>
      <c r="G161" s="41"/>
      <c r="H161" s="41"/>
      <c r="I161" s="41"/>
      <c r="J161" s="41"/>
      <c r="K161" s="41"/>
      <c r="L161" s="41"/>
      <c r="M161" s="41"/>
      <c r="N161" s="41"/>
      <c r="O161" s="41"/>
      <c r="P161" s="41"/>
      <c r="Q161" s="41"/>
      <c r="R161" s="41"/>
      <c r="S161" s="41"/>
      <c r="T161" s="41"/>
      <c r="U161" s="41"/>
      <c r="V161" s="60"/>
      <c r="W161" s="41"/>
      <c r="X161" s="41"/>
      <c r="Y161" s="41"/>
      <c r="Z161" s="41"/>
      <c r="AA161" s="41"/>
      <c r="AB161" s="41"/>
      <c r="AC161" s="41"/>
      <c r="AD161" s="41"/>
      <c r="AE161" s="41"/>
      <c r="AF161" s="41"/>
      <c r="AG161" s="41"/>
      <c r="AH161" s="41"/>
      <c r="AI161" s="41"/>
      <c r="AJ161" s="41"/>
      <c r="AK161" s="41"/>
    </row>
    <row r="162" ht="13.5" customHeight="1">
      <c r="A162" s="41"/>
      <c r="B162" s="41"/>
      <c r="C162" s="41"/>
      <c r="D162" s="41"/>
      <c r="E162" s="41"/>
      <c r="F162" s="41"/>
      <c r="G162" s="41"/>
      <c r="H162" s="41"/>
      <c r="I162" s="41"/>
      <c r="J162" s="41"/>
      <c r="K162" s="41"/>
      <c r="L162" s="41"/>
      <c r="M162" s="41"/>
      <c r="N162" s="41"/>
      <c r="O162" s="41"/>
      <c r="P162" s="41"/>
      <c r="Q162" s="41"/>
      <c r="R162" s="41"/>
      <c r="S162" s="41"/>
      <c r="T162" s="41"/>
      <c r="U162" s="41"/>
      <c r="V162" s="60"/>
      <c r="W162" s="41"/>
      <c r="X162" s="41"/>
      <c r="Y162" s="41"/>
      <c r="Z162" s="41"/>
      <c r="AA162" s="41"/>
      <c r="AB162" s="41"/>
      <c r="AC162" s="41"/>
      <c r="AD162" s="41"/>
      <c r="AE162" s="41"/>
      <c r="AF162" s="41"/>
      <c r="AG162" s="41"/>
      <c r="AH162" s="41"/>
      <c r="AI162" s="41"/>
      <c r="AJ162" s="41"/>
      <c r="AK162" s="41"/>
    </row>
    <row r="163" ht="13.5" customHeight="1">
      <c r="A163" s="41"/>
      <c r="B163" s="41"/>
      <c r="C163" s="41"/>
      <c r="D163" s="41"/>
      <c r="E163" s="41"/>
      <c r="F163" s="41"/>
      <c r="G163" s="41"/>
      <c r="H163" s="41"/>
      <c r="I163" s="41"/>
      <c r="J163" s="41"/>
      <c r="K163" s="41"/>
      <c r="L163" s="41"/>
      <c r="M163" s="41"/>
      <c r="N163" s="41"/>
      <c r="O163" s="41"/>
      <c r="P163" s="41"/>
      <c r="Q163" s="41"/>
      <c r="R163" s="41"/>
      <c r="S163" s="41"/>
      <c r="T163" s="41"/>
      <c r="U163" s="41"/>
      <c r="V163" s="60"/>
      <c r="W163" s="41"/>
      <c r="X163" s="41"/>
      <c r="Y163" s="41"/>
      <c r="Z163" s="41"/>
      <c r="AA163" s="41"/>
      <c r="AB163" s="41"/>
      <c r="AC163" s="41"/>
      <c r="AD163" s="41"/>
      <c r="AE163" s="41"/>
      <c r="AF163" s="41"/>
      <c r="AG163" s="41"/>
      <c r="AH163" s="41"/>
      <c r="AI163" s="41"/>
      <c r="AJ163" s="41"/>
      <c r="AK163" s="41"/>
    </row>
    <row r="164" ht="13.5" customHeight="1">
      <c r="A164" s="41"/>
      <c r="B164" s="41"/>
      <c r="C164" s="41"/>
      <c r="D164" s="41"/>
      <c r="E164" s="41"/>
      <c r="F164" s="41"/>
      <c r="G164" s="41"/>
      <c r="H164" s="41"/>
      <c r="I164" s="41"/>
      <c r="J164" s="41"/>
      <c r="K164" s="41"/>
      <c r="L164" s="41"/>
      <c r="M164" s="41"/>
      <c r="N164" s="41"/>
      <c r="O164" s="41"/>
      <c r="P164" s="41"/>
      <c r="Q164" s="41"/>
      <c r="R164" s="41"/>
      <c r="S164" s="41"/>
      <c r="T164" s="41"/>
      <c r="U164" s="41"/>
      <c r="V164" s="60"/>
      <c r="W164" s="41"/>
      <c r="X164" s="41"/>
      <c r="Y164" s="41"/>
      <c r="Z164" s="41"/>
      <c r="AA164" s="41"/>
      <c r="AB164" s="41"/>
      <c r="AC164" s="41"/>
      <c r="AD164" s="41"/>
      <c r="AE164" s="41"/>
      <c r="AF164" s="41"/>
      <c r="AG164" s="41"/>
      <c r="AH164" s="41"/>
      <c r="AI164" s="41"/>
      <c r="AJ164" s="41"/>
      <c r="AK164" s="41"/>
    </row>
    <row r="165" ht="13.5" customHeight="1">
      <c r="A165" s="41"/>
      <c r="B165" s="41"/>
      <c r="C165" s="41"/>
      <c r="D165" s="41"/>
      <c r="E165" s="41"/>
      <c r="F165" s="41"/>
      <c r="G165" s="41"/>
      <c r="H165" s="41"/>
      <c r="I165" s="41"/>
      <c r="J165" s="41"/>
      <c r="K165" s="41"/>
      <c r="L165" s="41"/>
      <c r="M165" s="41"/>
      <c r="N165" s="41"/>
      <c r="O165" s="41"/>
      <c r="P165" s="41"/>
      <c r="Q165" s="41"/>
      <c r="R165" s="41"/>
      <c r="S165" s="41"/>
      <c r="T165" s="41"/>
      <c r="U165" s="41"/>
      <c r="V165" s="60"/>
      <c r="W165" s="41"/>
      <c r="X165" s="41"/>
      <c r="Y165" s="41"/>
      <c r="Z165" s="41"/>
      <c r="AA165" s="41"/>
      <c r="AB165" s="41"/>
      <c r="AC165" s="41"/>
      <c r="AD165" s="41"/>
      <c r="AE165" s="41"/>
      <c r="AF165" s="41"/>
      <c r="AG165" s="41"/>
      <c r="AH165" s="41"/>
      <c r="AI165" s="41"/>
      <c r="AJ165" s="41"/>
      <c r="AK165" s="41"/>
    </row>
    <row r="166" ht="13.5" customHeight="1">
      <c r="A166" s="41"/>
      <c r="B166" s="41"/>
      <c r="C166" s="41"/>
      <c r="D166" s="41"/>
      <c r="E166" s="41"/>
      <c r="F166" s="41"/>
      <c r="G166" s="41"/>
      <c r="H166" s="41"/>
      <c r="I166" s="41"/>
      <c r="J166" s="41"/>
      <c r="K166" s="41"/>
      <c r="L166" s="41"/>
      <c r="M166" s="41"/>
      <c r="N166" s="41"/>
      <c r="O166" s="41"/>
      <c r="P166" s="41"/>
      <c r="Q166" s="41"/>
      <c r="R166" s="41"/>
      <c r="S166" s="41"/>
      <c r="T166" s="41"/>
      <c r="U166" s="41"/>
      <c r="V166" s="60"/>
      <c r="W166" s="41"/>
      <c r="X166" s="41"/>
      <c r="Y166" s="41"/>
      <c r="Z166" s="41"/>
      <c r="AA166" s="41"/>
      <c r="AB166" s="41"/>
      <c r="AC166" s="41"/>
      <c r="AD166" s="41"/>
      <c r="AE166" s="41"/>
      <c r="AF166" s="41"/>
      <c r="AG166" s="41"/>
      <c r="AH166" s="41"/>
      <c r="AI166" s="41"/>
      <c r="AJ166" s="41"/>
      <c r="AK166" s="41"/>
    </row>
    <row r="167" ht="13.5" customHeight="1">
      <c r="A167" s="41"/>
      <c r="B167" s="41"/>
      <c r="C167" s="41"/>
      <c r="D167" s="41"/>
      <c r="E167" s="41"/>
      <c r="F167" s="41"/>
      <c r="G167" s="41"/>
      <c r="H167" s="41"/>
      <c r="I167" s="41"/>
      <c r="J167" s="41"/>
      <c r="K167" s="41"/>
      <c r="L167" s="41"/>
      <c r="M167" s="41"/>
      <c r="N167" s="41"/>
      <c r="O167" s="41"/>
      <c r="P167" s="41"/>
      <c r="Q167" s="41"/>
      <c r="R167" s="41"/>
      <c r="S167" s="41"/>
      <c r="T167" s="41"/>
      <c r="U167" s="41"/>
      <c r="V167" s="60"/>
      <c r="W167" s="41"/>
      <c r="X167" s="41"/>
      <c r="Y167" s="41"/>
      <c r="Z167" s="41"/>
      <c r="AA167" s="41"/>
      <c r="AB167" s="41"/>
      <c r="AC167" s="41"/>
      <c r="AD167" s="41"/>
      <c r="AE167" s="41"/>
      <c r="AF167" s="41"/>
      <c r="AG167" s="41"/>
      <c r="AH167" s="41"/>
      <c r="AI167" s="41"/>
      <c r="AJ167" s="41"/>
      <c r="AK167" s="41"/>
    </row>
    <row r="168" ht="13.5" customHeight="1">
      <c r="A168" s="41"/>
      <c r="B168" s="41"/>
      <c r="C168" s="41"/>
      <c r="D168" s="41"/>
      <c r="E168" s="41"/>
      <c r="F168" s="41"/>
      <c r="G168" s="41"/>
      <c r="H168" s="41"/>
      <c r="I168" s="41"/>
      <c r="J168" s="41"/>
      <c r="K168" s="41"/>
      <c r="L168" s="41"/>
      <c r="M168" s="41"/>
      <c r="N168" s="41"/>
      <c r="O168" s="41"/>
      <c r="P168" s="41"/>
      <c r="Q168" s="41"/>
      <c r="R168" s="41"/>
      <c r="S168" s="41"/>
      <c r="T168" s="41"/>
      <c r="U168" s="41"/>
      <c r="V168" s="60"/>
      <c r="W168" s="41"/>
      <c r="X168" s="41"/>
      <c r="Y168" s="41"/>
      <c r="Z168" s="41"/>
      <c r="AA168" s="41"/>
      <c r="AB168" s="41"/>
      <c r="AC168" s="41"/>
      <c r="AD168" s="41"/>
      <c r="AE168" s="41"/>
      <c r="AF168" s="41"/>
      <c r="AG168" s="41"/>
      <c r="AH168" s="41"/>
      <c r="AI168" s="41"/>
      <c r="AJ168" s="41"/>
      <c r="AK168" s="41"/>
    </row>
    <row r="169" ht="13.5" customHeight="1">
      <c r="A169" s="41"/>
      <c r="B169" s="41"/>
      <c r="C169" s="41"/>
      <c r="D169" s="41"/>
      <c r="E169" s="41"/>
      <c r="F169" s="41"/>
      <c r="G169" s="41"/>
      <c r="H169" s="41"/>
      <c r="I169" s="41"/>
      <c r="J169" s="41"/>
      <c r="K169" s="41"/>
      <c r="L169" s="41"/>
      <c r="M169" s="41"/>
      <c r="N169" s="41"/>
      <c r="O169" s="41"/>
      <c r="P169" s="41"/>
      <c r="Q169" s="41"/>
      <c r="R169" s="41"/>
      <c r="S169" s="41"/>
      <c r="T169" s="41"/>
      <c r="U169" s="41"/>
      <c r="V169" s="60"/>
      <c r="W169" s="41"/>
      <c r="X169" s="41"/>
      <c r="Y169" s="41"/>
      <c r="Z169" s="41"/>
      <c r="AA169" s="41"/>
      <c r="AB169" s="41"/>
      <c r="AC169" s="41"/>
      <c r="AD169" s="41"/>
      <c r="AE169" s="41"/>
      <c r="AF169" s="41"/>
      <c r="AG169" s="41"/>
      <c r="AH169" s="41"/>
      <c r="AI169" s="41"/>
      <c r="AJ169" s="41"/>
      <c r="AK169" s="41"/>
    </row>
    <row r="170" ht="13.5" customHeight="1">
      <c r="A170" s="41"/>
      <c r="B170" s="41"/>
      <c r="C170" s="41"/>
      <c r="D170" s="41"/>
      <c r="E170" s="41"/>
      <c r="F170" s="41"/>
      <c r="G170" s="41"/>
      <c r="H170" s="41"/>
      <c r="I170" s="41"/>
      <c r="J170" s="41"/>
      <c r="K170" s="41"/>
      <c r="L170" s="41"/>
      <c r="M170" s="41"/>
      <c r="N170" s="41"/>
      <c r="O170" s="41"/>
      <c r="P170" s="41"/>
      <c r="Q170" s="41"/>
      <c r="R170" s="41"/>
      <c r="S170" s="41"/>
      <c r="T170" s="41"/>
      <c r="U170" s="41"/>
      <c r="V170" s="60"/>
      <c r="W170" s="41"/>
      <c r="X170" s="41"/>
      <c r="Y170" s="41"/>
      <c r="Z170" s="41"/>
      <c r="AA170" s="41"/>
      <c r="AB170" s="41"/>
      <c r="AC170" s="41"/>
      <c r="AD170" s="41"/>
      <c r="AE170" s="41"/>
      <c r="AF170" s="41"/>
      <c r="AG170" s="41"/>
      <c r="AH170" s="41"/>
      <c r="AI170" s="41"/>
      <c r="AJ170" s="41"/>
      <c r="AK170" s="41"/>
    </row>
    <row r="171" ht="13.5" customHeight="1">
      <c r="A171" s="41"/>
      <c r="B171" s="41"/>
      <c r="C171" s="41"/>
      <c r="D171" s="41"/>
      <c r="E171" s="41"/>
      <c r="F171" s="41"/>
      <c r="G171" s="41"/>
      <c r="H171" s="41"/>
      <c r="I171" s="41"/>
      <c r="J171" s="41"/>
      <c r="K171" s="41"/>
      <c r="L171" s="41"/>
      <c r="M171" s="41"/>
      <c r="N171" s="41"/>
      <c r="O171" s="41"/>
      <c r="P171" s="41"/>
      <c r="Q171" s="41"/>
      <c r="R171" s="41"/>
      <c r="S171" s="41"/>
      <c r="T171" s="41"/>
      <c r="U171" s="41"/>
      <c r="V171" s="60"/>
      <c r="W171" s="41"/>
      <c r="X171" s="41"/>
      <c r="Y171" s="41"/>
      <c r="Z171" s="41"/>
      <c r="AA171" s="41"/>
      <c r="AB171" s="41"/>
      <c r="AC171" s="41"/>
      <c r="AD171" s="41"/>
      <c r="AE171" s="41"/>
      <c r="AF171" s="41"/>
      <c r="AG171" s="41"/>
      <c r="AH171" s="41"/>
      <c r="AI171" s="41"/>
      <c r="AJ171" s="41"/>
      <c r="AK171" s="41"/>
    </row>
    <row r="172" ht="13.5" customHeight="1">
      <c r="A172" s="41"/>
      <c r="B172" s="41"/>
      <c r="C172" s="41"/>
      <c r="D172" s="41"/>
      <c r="E172" s="41"/>
      <c r="F172" s="41"/>
      <c r="G172" s="41"/>
      <c r="H172" s="41"/>
      <c r="I172" s="41"/>
      <c r="J172" s="41"/>
      <c r="K172" s="41"/>
      <c r="L172" s="41"/>
      <c r="M172" s="41"/>
      <c r="N172" s="41"/>
      <c r="O172" s="41"/>
      <c r="P172" s="41"/>
      <c r="Q172" s="41"/>
      <c r="R172" s="41"/>
      <c r="S172" s="41"/>
      <c r="T172" s="41"/>
      <c r="U172" s="41"/>
      <c r="V172" s="60"/>
      <c r="W172" s="41"/>
      <c r="X172" s="41"/>
      <c r="Y172" s="41"/>
      <c r="Z172" s="41"/>
      <c r="AA172" s="41"/>
      <c r="AB172" s="41"/>
      <c r="AC172" s="41"/>
      <c r="AD172" s="41"/>
      <c r="AE172" s="41"/>
      <c r="AF172" s="41"/>
      <c r="AG172" s="41"/>
      <c r="AH172" s="41"/>
      <c r="AI172" s="41"/>
      <c r="AJ172" s="41"/>
      <c r="AK172" s="41"/>
    </row>
    <row r="173" ht="13.5" customHeight="1">
      <c r="A173" s="41"/>
      <c r="B173" s="41"/>
      <c r="C173" s="41"/>
      <c r="D173" s="41"/>
      <c r="E173" s="41"/>
      <c r="F173" s="41"/>
      <c r="G173" s="41"/>
      <c r="H173" s="41"/>
      <c r="I173" s="41"/>
      <c r="J173" s="41"/>
      <c r="K173" s="41"/>
      <c r="L173" s="41"/>
      <c r="M173" s="41"/>
      <c r="N173" s="41"/>
      <c r="O173" s="41"/>
      <c r="P173" s="41"/>
      <c r="Q173" s="41"/>
      <c r="R173" s="41"/>
      <c r="S173" s="41"/>
      <c r="T173" s="41"/>
      <c r="U173" s="41"/>
      <c r="V173" s="60"/>
      <c r="W173" s="41"/>
      <c r="X173" s="41"/>
      <c r="Y173" s="41"/>
      <c r="Z173" s="41"/>
      <c r="AA173" s="41"/>
      <c r="AB173" s="41"/>
      <c r="AC173" s="41"/>
      <c r="AD173" s="41"/>
      <c r="AE173" s="41"/>
      <c r="AF173" s="41"/>
      <c r="AG173" s="41"/>
      <c r="AH173" s="41"/>
      <c r="AI173" s="41"/>
      <c r="AJ173" s="41"/>
      <c r="AK173" s="41"/>
    </row>
    <row r="174" ht="13.5" customHeight="1">
      <c r="A174" s="41"/>
      <c r="B174" s="41"/>
      <c r="C174" s="41"/>
      <c r="D174" s="41"/>
      <c r="E174" s="41"/>
      <c r="F174" s="41"/>
      <c r="G174" s="41"/>
      <c r="H174" s="41"/>
      <c r="I174" s="41"/>
      <c r="J174" s="41"/>
      <c r="K174" s="41"/>
      <c r="L174" s="41"/>
      <c r="M174" s="41"/>
      <c r="N174" s="41"/>
      <c r="O174" s="41"/>
      <c r="P174" s="41"/>
      <c r="Q174" s="41"/>
      <c r="R174" s="41"/>
      <c r="S174" s="41"/>
      <c r="T174" s="41"/>
      <c r="U174" s="41"/>
      <c r="V174" s="60"/>
      <c r="W174" s="41"/>
      <c r="X174" s="41"/>
      <c r="Y174" s="41"/>
      <c r="Z174" s="41"/>
      <c r="AA174" s="41"/>
      <c r="AB174" s="41"/>
      <c r="AC174" s="41"/>
      <c r="AD174" s="41"/>
      <c r="AE174" s="41"/>
      <c r="AF174" s="41"/>
      <c r="AG174" s="41"/>
      <c r="AH174" s="41"/>
      <c r="AI174" s="41"/>
      <c r="AJ174" s="41"/>
      <c r="AK174" s="41"/>
    </row>
    <row r="175" ht="13.5" customHeight="1">
      <c r="A175" s="41"/>
      <c r="B175" s="41"/>
      <c r="C175" s="41"/>
      <c r="D175" s="41"/>
      <c r="E175" s="41"/>
      <c r="F175" s="41"/>
      <c r="G175" s="41"/>
      <c r="H175" s="41"/>
      <c r="I175" s="41"/>
      <c r="J175" s="41"/>
      <c r="K175" s="41"/>
      <c r="L175" s="41"/>
      <c r="M175" s="41"/>
      <c r="N175" s="41"/>
      <c r="O175" s="41"/>
      <c r="P175" s="41"/>
      <c r="Q175" s="41"/>
      <c r="R175" s="41"/>
      <c r="S175" s="41"/>
      <c r="T175" s="41"/>
      <c r="U175" s="41"/>
      <c r="V175" s="60"/>
      <c r="W175" s="41"/>
      <c r="X175" s="41"/>
      <c r="Y175" s="41"/>
      <c r="Z175" s="41"/>
      <c r="AA175" s="41"/>
      <c r="AB175" s="41"/>
      <c r="AC175" s="41"/>
      <c r="AD175" s="41"/>
      <c r="AE175" s="41"/>
      <c r="AF175" s="41"/>
      <c r="AG175" s="41"/>
      <c r="AH175" s="41"/>
      <c r="AI175" s="41"/>
      <c r="AJ175" s="41"/>
      <c r="AK175" s="41"/>
    </row>
    <row r="176" ht="13.5" customHeight="1">
      <c r="A176" s="41"/>
      <c r="B176" s="41"/>
      <c r="C176" s="41"/>
      <c r="D176" s="41"/>
      <c r="E176" s="41"/>
      <c r="F176" s="41"/>
      <c r="G176" s="41"/>
      <c r="H176" s="41"/>
      <c r="I176" s="41"/>
      <c r="J176" s="41"/>
      <c r="K176" s="41"/>
      <c r="L176" s="41"/>
      <c r="M176" s="41"/>
      <c r="N176" s="41"/>
      <c r="O176" s="41"/>
      <c r="P176" s="41"/>
      <c r="Q176" s="41"/>
      <c r="R176" s="41"/>
      <c r="S176" s="41"/>
      <c r="T176" s="41"/>
      <c r="U176" s="41"/>
      <c r="V176" s="60"/>
      <c r="W176" s="41"/>
      <c r="X176" s="41"/>
      <c r="Y176" s="41"/>
      <c r="Z176" s="41"/>
      <c r="AA176" s="41"/>
      <c r="AB176" s="41"/>
      <c r="AC176" s="41"/>
      <c r="AD176" s="41"/>
      <c r="AE176" s="41"/>
      <c r="AF176" s="41"/>
      <c r="AG176" s="41"/>
      <c r="AH176" s="41"/>
      <c r="AI176" s="41"/>
      <c r="AJ176" s="41"/>
      <c r="AK176" s="41"/>
    </row>
    <row r="177" ht="13.5" customHeight="1">
      <c r="A177" s="41"/>
      <c r="B177" s="41"/>
      <c r="C177" s="41"/>
      <c r="D177" s="41"/>
      <c r="E177" s="41"/>
      <c r="F177" s="41"/>
      <c r="G177" s="41"/>
      <c r="H177" s="41"/>
      <c r="I177" s="41"/>
      <c r="J177" s="41"/>
      <c r="K177" s="41"/>
      <c r="L177" s="41"/>
      <c r="M177" s="41"/>
      <c r="N177" s="41"/>
      <c r="O177" s="41"/>
      <c r="P177" s="41"/>
      <c r="Q177" s="41"/>
      <c r="R177" s="41"/>
      <c r="S177" s="41"/>
      <c r="T177" s="41"/>
      <c r="U177" s="41"/>
      <c r="V177" s="60"/>
      <c r="W177" s="41"/>
      <c r="X177" s="41"/>
      <c r="Y177" s="41"/>
      <c r="Z177" s="41"/>
      <c r="AA177" s="41"/>
      <c r="AB177" s="41"/>
      <c r="AC177" s="41"/>
      <c r="AD177" s="41"/>
      <c r="AE177" s="41"/>
      <c r="AF177" s="41"/>
      <c r="AG177" s="41"/>
      <c r="AH177" s="41"/>
      <c r="AI177" s="41"/>
      <c r="AJ177" s="41"/>
      <c r="AK177" s="41"/>
    </row>
    <row r="178" ht="13.5" customHeight="1">
      <c r="A178" s="41"/>
      <c r="B178" s="41"/>
      <c r="C178" s="41"/>
      <c r="D178" s="41"/>
      <c r="E178" s="41"/>
      <c r="F178" s="41"/>
      <c r="G178" s="41"/>
      <c r="H178" s="41"/>
      <c r="I178" s="41"/>
      <c r="J178" s="41"/>
      <c r="K178" s="41"/>
      <c r="L178" s="41"/>
      <c r="M178" s="41"/>
      <c r="N178" s="41"/>
      <c r="O178" s="41"/>
      <c r="P178" s="41"/>
      <c r="Q178" s="41"/>
      <c r="R178" s="41"/>
      <c r="S178" s="41"/>
      <c r="T178" s="41"/>
      <c r="U178" s="41"/>
      <c r="V178" s="60"/>
      <c r="W178" s="41"/>
      <c r="X178" s="41"/>
      <c r="Y178" s="41"/>
      <c r="Z178" s="41"/>
      <c r="AA178" s="41"/>
      <c r="AB178" s="41"/>
      <c r="AC178" s="41"/>
      <c r="AD178" s="41"/>
      <c r="AE178" s="41"/>
      <c r="AF178" s="41"/>
      <c r="AG178" s="41"/>
      <c r="AH178" s="41"/>
      <c r="AI178" s="41"/>
      <c r="AJ178" s="41"/>
      <c r="AK178" s="41"/>
    </row>
    <row r="179" ht="13.5" customHeight="1">
      <c r="A179" s="41"/>
      <c r="B179" s="41"/>
      <c r="C179" s="41"/>
      <c r="D179" s="41"/>
      <c r="E179" s="41"/>
      <c r="F179" s="41"/>
      <c r="G179" s="41"/>
      <c r="H179" s="41"/>
      <c r="I179" s="41"/>
      <c r="J179" s="41"/>
      <c r="K179" s="41"/>
      <c r="L179" s="41"/>
      <c r="M179" s="41"/>
      <c r="N179" s="41"/>
      <c r="O179" s="41"/>
      <c r="P179" s="41"/>
      <c r="Q179" s="41"/>
      <c r="R179" s="41"/>
      <c r="S179" s="41"/>
      <c r="T179" s="41"/>
      <c r="U179" s="41"/>
      <c r="V179" s="60"/>
      <c r="W179" s="41"/>
      <c r="X179" s="41"/>
      <c r="Y179" s="41"/>
      <c r="Z179" s="41"/>
      <c r="AA179" s="41"/>
      <c r="AB179" s="41"/>
      <c r="AC179" s="41"/>
      <c r="AD179" s="41"/>
      <c r="AE179" s="41"/>
      <c r="AF179" s="41"/>
      <c r="AG179" s="41"/>
      <c r="AH179" s="41"/>
      <c r="AI179" s="41"/>
      <c r="AJ179" s="41"/>
      <c r="AK179" s="41"/>
    </row>
    <row r="180" ht="13.5" customHeight="1">
      <c r="A180" s="41"/>
      <c r="B180" s="41"/>
      <c r="C180" s="41"/>
      <c r="D180" s="41"/>
      <c r="E180" s="41"/>
      <c r="F180" s="41"/>
      <c r="G180" s="41"/>
      <c r="H180" s="41"/>
      <c r="I180" s="41"/>
      <c r="J180" s="41"/>
      <c r="K180" s="41"/>
      <c r="L180" s="41"/>
      <c r="M180" s="41"/>
      <c r="N180" s="41"/>
      <c r="O180" s="41"/>
      <c r="P180" s="41"/>
      <c r="Q180" s="41"/>
      <c r="R180" s="41"/>
      <c r="S180" s="41"/>
      <c r="T180" s="41"/>
      <c r="U180" s="41"/>
      <c r="V180" s="60"/>
      <c r="W180" s="41"/>
      <c r="X180" s="41"/>
      <c r="Y180" s="41"/>
      <c r="Z180" s="41"/>
      <c r="AA180" s="41"/>
      <c r="AB180" s="41"/>
      <c r="AC180" s="41"/>
      <c r="AD180" s="41"/>
      <c r="AE180" s="41"/>
      <c r="AF180" s="41"/>
      <c r="AG180" s="41"/>
      <c r="AH180" s="41"/>
      <c r="AI180" s="41"/>
      <c r="AJ180" s="41"/>
      <c r="AK180" s="41"/>
    </row>
    <row r="181" ht="13.5" customHeight="1">
      <c r="A181" s="41"/>
      <c r="B181" s="41"/>
      <c r="C181" s="41"/>
      <c r="D181" s="41"/>
      <c r="E181" s="41"/>
      <c r="F181" s="41"/>
      <c r="G181" s="41"/>
      <c r="H181" s="41"/>
      <c r="I181" s="41"/>
      <c r="J181" s="41"/>
      <c r="K181" s="41"/>
      <c r="L181" s="41"/>
      <c r="M181" s="41"/>
      <c r="N181" s="41"/>
      <c r="O181" s="41"/>
      <c r="P181" s="41"/>
      <c r="Q181" s="41"/>
      <c r="R181" s="41"/>
      <c r="S181" s="41"/>
      <c r="T181" s="41"/>
      <c r="U181" s="41"/>
      <c r="V181" s="60"/>
      <c r="W181" s="41"/>
      <c r="X181" s="41"/>
      <c r="Y181" s="41"/>
      <c r="Z181" s="41"/>
      <c r="AA181" s="41"/>
      <c r="AB181" s="41"/>
      <c r="AC181" s="41"/>
      <c r="AD181" s="41"/>
      <c r="AE181" s="41"/>
      <c r="AF181" s="41"/>
      <c r="AG181" s="41"/>
      <c r="AH181" s="41"/>
      <c r="AI181" s="41"/>
      <c r="AJ181" s="41"/>
      <c r="AK181" s="41"/>
    </row>
    <row r="182" ht="13.5" customHeight="1">
      <c r="A182" s="41"/>
      <c r="B182" s="41"/>
      <c r="C182" s="41"/>
      <c r="D182" s="41"/>
      <c r="E182" s="41"/>
      <c r="F182" s="41"/>
      <c r="G182" s="41"/>
      <c r="H182" s="41"/>
      <c r="I182" s="41"/>
      <c r="J182" s="41"/>
      <c r="K182" s="41"/>
      <c r="L182" s="41"/>
      <c r="M182" s="41"/>
      <c r="N182" s="41"/>
      <c r="O182" s="41"/>
      <c r="P182" s="41"/>
      <c r="Q182" s="41"/>
      <c r="R182" s="41"/>
      <c r="S182" s="41"/>
      <c r="T182" s="41"/>
      <c r="U182" s="41"/>
      <c r="V182" s="60"/>
      <c r="W182" s="41"/>
      <c r="X182" s="41"/>
      <c r="Y182" s="41"/>
      <c r="Z182" s="41"/>
      <c r="AA182" s="41"/>
      <c r="AB182" s="41"/>
      <c r="AC182" s="41"/>
      <c r="AD182" s="41"/>
      <c r="AE182" s="41"/>
      <c r="AF182" s="41"/>
      <c r="AG182" s="41"/>
      <c r="AH182" s="41"/>
      <c r="AI182" s="41"/>
      <c r="AJ182" s="41"/>
      <c r="AK182" s="41"/>
    </row>
    <row r="183" ht="13.5" customHeight="1">
      <c r="A183" s="41"/>
      <c r="B183" s="41"/>
      <c r="C183" s="41"/>
      <c r="D183" s="41"/>
      <c r="E183" s="41"/>
      <c r="F183" s="41"/>
      <c r="G183" s="41"/>
      <c r="H183" s="41"/>
      <c r="I183" s="41"/>
      <c r="J183" s="41"/>
      <c r="K183" s="41"/>
      <c r="L183" s="41"/>
      <c r="M183" s="41"/>
      <c r="N183" s="41"/>
      <c r="O183" s="41"/>
      <c r="P183" s="41"/>
      <c r="Q183" s="41"/>
      <c r="R183" s="41"/>
      <c r="S183" s="41"/>
      <c r="T183" s="41"/>
      <c r="U183" s="41"/>
      <c r="V183" s="60"/>
      <c r="W183" s="41"/>
      <c r="X183" s="41"/>
      <c r="Y183" s="41"/>
      <c r="Z183" s="41"/>
      <c r="AA183" s="41"/>
      <c r="AB183" s="41"/>
      <c r="AC183" s="41"/>
      <c r="AD183" s="41"/>
      <c r="AE183" s="41"/>
      <c r="AF183" s="41"/>
      <c r="AG183" s="41"/>
      <c r="AH183" s="41"/>
      <c r="AI183" s="41"/>
      <c r="AJ183" s="41"/>
      <c r="AK183" s="41"/>
    </row>
    <row r="184" ht="13.5" customHeight="1">
      <c r="A184" s="41"/>
      <c r="B184" s="41"/>
      <c r="C184" s="41"/>
      <c r="D184" s="41"/>
      <c r="E184" s="41"/>
      <c r="F184" s="41"/>
      <c r="G184" s="41"/>
      <c r="H184" s="41"/>
      <c r="I184" s="41"/>
      <c r="J184" s="41"/>
      <c r="K184" s="41"/>
      <c r="L184" s="41"/>
      <c r="M184" s="41"/>
      <c r="N184" s="41"/>
      <c r="O184" s="41"/>
      <c r="P184" s="41"/>
      <c r="Q184" s="41"/>
      <c r="R184" s="41"/>
      <c r="S184" s="41"/>
      <c r="T184" s="41"/>
      <c r="U184" s="41"/>
      <c r="V184" s="60"/>
      <c r="W184" s="41"/>
      <c r="X184" s="41"/>
      <c r="Y184" s="41"/>
      <c r="Z184" s="41"/>
      <c r="AA184" s="41"/>
      <c r="AB184" s="41"/>
      <c r="AC184" s="41"/>
      <c r="AD184" s="41"/>
      <c r="AE184" s="41"/>
      <c r="AF184" s="41"/>
      <c r="AG184" s="41"/>
      <c r="AH184" s="41"/>
      <c r="AI184" s="41"/>
      <c r="AJ184" s="41"/>
      <c r="AK184" s="41"/>
    </row>
    <row r="185" ht="13.5" customHeight="1">
      <c r="A185" s="41"/>
      <c r="B185" s="41"/>
      <c r="C185" s="41"/>
      <c r="D185" s="41"/>
      <c r="E185" s="41"/>
      <c r="F185" s="41"/>
      <c r="G185" s="41"/>
      <c r="H185" s="41"/>
      <c r="I185" s="41"/>
      <c r="J185" s="41"/>
      <c r="K185" s="41"/>
      <c r="L185" s="41"/>
      <c r="M185" s="41"/>
      <c r="N185" s="41"/>
      <c r="O185" s="41"/>
      <c r="P185" s="41"/>
      <c r="Q185" s="41"/>
      <c r="R185" s="41"/>
      <c r="S185" s="41"/>
      <c r="T185" s="41"/>
      <c r="U185" s="41"/>
      <c r="V185" s="60"/>
      <c r="W185" s="41"/>
      <c r="X185" s="41"/>
      <c r="Y185" s="41"/>
      <c r="Z185" s="41"/>
      <c r="AA185" s="41"/>
      <c r="AB185" s="41"/>
      <c r="AC185" s="41"/>
      <c r="AD185" s="41"/>
      <c r="AE185" s="41"/>
      <c r="AF185" s="41"/>
      <c r="AG185" s="41"/>
      <c r="AH185" s="41"/>
      <c r="AI185" s="41"/>
      <c r="AJ185" s="41"/>
      <c r="AK185" s="41"/>
    </row>
    <row r="186" ht="13.5" customHeight="1">
      <c r="A186" s="41"/>
      <c r="B186" s="41"/>
      <c r="C186" s="41"/>
      <c r="D186" s="41"/>
      <c r="E186" s="41"/>
      <c r="F186" s="41"/>
      <c r="G186" s="41"/>
      <c r="H186" s="41"/>
      <c r="I186" s="41"/>
      <c r="J186" s="41"/>
      <c r="K186" s="41"/>
      <c r="L186" s="41"/>
      <c r="M186" s="41"/>
      <c r="N186" s="41"/>
      <c r="O186" s="41"/>
      <c r="P186" s="41"/>
      <c r="Q186" s="41"/>
      <c r="R186" s="41"/>
      <c r="S186" s="41"/>
      <c r="T186" s="41"/>
      <c r="U186" s="41"/>
      <c r="V186" s="60"/>
      <c r="W186" s="41"/>
      <c r="X186" s="41"/>
      <c r="Y186" s="41"/>
      <c r="Z186" s="41"/>
      <c r="AA186" s="41"/>
      <c r="AB186" s="41"/>
      <c r="AC186" s="41"/>
      <c r="AD186" s="41"/>
      <c r="AE186" s="41"/>
      <c r="AF186" s="41"/>
      <c r="AG186" s="41"/>
      <c r="AH186" s="41"/>
      <c r="AI186" s="41"/>
      <c r="AJ186" s="41"/>
      <c r="AK186" s="41"/>
    </row>
    <row r="187" ht="13.5" customHeight="1">
      <c r="A187" s="41"/>
      <c r="B187" s="41"/>
      <c r="C187" s="41"/>
      <c r="D187" s="41"/>
      <c r="E187" s="41"/>
      <c r="F187" s="41"/>
      <c r="G187" s="41"/>
      <c r="H187" s="41"/>
      <c r="I187" s="41"/>
      <c r="J187" s="41"/>
      <c r="K187" s="41"/>
      <c r="L187" s="41"/>
      <c r="M187" s="41"/>
      <c r="N187" s="41"/>
      <c r="O187" s="41"/>
      <c r="P187" s="41"/>
      <c r="Q187" s="41"/>
      <c r="R187" s="41"/>
      <c r="S187" s="41"/>
      <c r="T187" s="41"/>
      <c r="U187" s="41"/>
      <c r="V187" s="60"/>
      <c r="W187" s="41"/>
      <c r="X187" s="41"/>
      <c r="Y187" s="41"/>
      <c r="Z187" s="41"/>
      <c r="AA187" s="41"/>
      <c r="AB187" s="41"/>
      <c r="AC187" s="41"/>
      <c r="AD187" s="41"/>
      <c r="AE187" s="41"/>
      <c r="AF187" s="41"/>
      <c r="AG187" s="41"/>
      <c r="AH187" s="41"/>
      <c r="AI187" s="41"/>
      <c r="AJ187" s="41"/>
      <c r="AK187" s="41"/>
    </row>
    <row r="188" ht="13.5" customHeight="1">
      <c r="A188" s="41"/>
      <c r="B188" s="41"/>
      <c r="C188" s="41"/>
      <c r="D188" s="41"/>
      <c r="E188" s="41"/>
      <c r="F188" s="41"/>
      <c r="G188" s="41"/>
      <c r="H188" s="41"/>
      <c r="I188" s="41"/>
      <c r="J188" s="41"/>
      <c r="K188" s="41"/>
      <c r="L188" s="41"/>
      <c r="M188" s="41"/>
      <c r="N188" s="41"/>
      <c r="O188" s="41"/>
      <c r="P188" s="41"/>
      <c r="Q188" s="41"/>
      <c r="R188" s="41"/>
      <c r="S188" s="41"/>
      <c r="T188" s="41"/>
      <c r="U188" s="41"/>
      <c r="V188" s="60"/>
      <c r="W188" s="41"/>
      <c r="X188" s="41"/>
      <c r="Y188" s="41"/>
      <c r="Z188" s="41"/>
      <c r="AA188" s="41"/>
      <c r="AB188" s="41"/>
      <c r="AC188" s="41"/>
      <c r="AD188" s="41"/>
      <c r="AE188" s="41"/>
      <c r="AF188" s="41"/>
      <c r="AG188" s="41"/>
      <c r="AH188" s="41"/>
      <c r="AI188" s="41"/>
      <c r="AJ188" s="41"/>
      <c r="AK188" s="41"/>
    </row>
    <row r="189" ht="13.5" customHeight="1">
      <c r="A189" s="41"/>
      <c r="B189" s="41"/>
      <c r="C189" s="41"/>
      <c r="D189" s="41"/>
      <c r="E189" s="41"/>
      <c r="F189" s="41"/>
      <c r="G189" s="41"/>
      <c r="H189" s="41"/>
      <c r="I189" s="41"/>
      <c r="J189" s="41"/>
      <c r="K189" s="41"/>
      <c r="L189" s="41"/>
      <c r="M189" s="41"/>
      <c r="N189" s="41"/>
      <c r="O189" s="41"/>
      <c r="P189" s="41"/>
      <c r="Q189" s="41"/>
      <c r="R189" s="41"/>
      <c r="S189" s="41"/>
      <c r="T189" s="41"/>
      <c r="U189" s="41"/>
      <c r="V189" s="60"/>
      <c r="W189" s="41"/>
      <c r="X189" s="41"/>
      <c r="Y189" s="41"/>
      <c r="Z189" s="41"/>
      <c r="AA189" s="41"/>
      <c r="AB189" s="41"/>
      <c r="AC189" s="41"/>
      <c r="AD189" s="41"/>
      <c r="AE189" s="41"/>
      <c r="AF189" s="41"/>
      <c r="AG189" s="41"/>
      <c r="AH189" s="41"/>
      <c r="AI189" s="41"/>
      <c r="AJ189" s="41"/>
      <c r="AK189" s="41"/>
    </row>
    <row r="190" ht="13.5" customHeight="1">
      <c r="A190" s="41"/>
      <c r="B190" s="41"/>
      <c r="C190" s="41"/>
      <c r="D190" s="41"/>
      <c r="E190" s="41"/>
      <c r="F190" s="41"/>
      <c r="G190" s="41"/>
      <c r="H190" s="41"/>
      <c r="I190" s="41"/>
      <c r="J190" s="41"/>
      <c r="K190" s="41"/>
      <c r="L190" s="41"/>
      <c r="M190" s="41"/>
      <c r="N190" s="41"/>
      <c r="O190" s="41"/>
      <c r="P190" s="41"/>
      <c r="Q190" s="41"/>
      <c r="R190" s="41"/>
      <c r="S190" s="41"/>
      <c r="T190" s="41"/>
      <c r="U190" s="41"/>
      <c r="V190" s="60"/>
      <c r="W190" s="41"/>
      <c r="X190" s="41"/>
      <c r="Y190" s="41"/>
      <c r="Z190" s="41"/>
      <c r="AA190" s="41"/>
      <c r="AB190" s="41"/>
      <c r="AC190" s="41"/>
      <c r="AD190" s="41"/>
      <c r="AE190" s="41"/>
      <c r="AF190" s="41"/>
      <c r="AG190" s="41"/>
      <c r="AH190" s="41"/>
      <c r="AI190" s="41"/>
      <c r="AJ190" s="41"/>
      <c r="AK190" s="41"/>
    </row>
    <row r="191" ht="13.5" customHeight="1">
      <c r="A191" s="41"/>
      <c r="B191" s="41"/>
      <c r="C191" s="41"/>
      <c r="D191" s="41"/>
      <c r="E191" s="41"/>
      <c r="F191" s="41"/>
      <c r="G191" s="41"/>
      <c r="H191" s="41"/>
      <c r="I191" s="41"/>
      <c r="J191" s="41"/>
      <c r="K191" s="41"/>
      <c r="L191" s="41"/>
      <c r="M191" s="41"/>
      <c r="N191" s="41"/>
      <c r="O191" s="41"/>
      <c r="P191" s="41"/>
      <c r="Q191" s="41"/>
      <c r="R191" s="41"/>
      <c r="S191" s="41"/>
      <c r="T191" s="41"/>
      <c r="U191" s="41"/>
      <c r="V191" s="60"/>
      <c r="W191" s="41"/>
      <c r="X191" s="41"/>
      <c r="Y191" s="41"/>
      <c r="Z191" s="41"/>
      <c r="AA191" s="41"/>
      <c r="AB191" s="41"/>
      <c r="AC191" s="41"/>
      <c r="AD191" s="41"/>
      <c r="AE191" s="41"/>
      <c r="AF191" s="41"/>
      <c r="AG191" s="41"/>
      <c r="AH191" s="41"/>
      <c r="AI191" s="41"/>
      <c r="AJ191" s="41"/>
      <c r="AK191" s="41"/>
    </row>
    <row r="192" ht="13.5" customHeight="1">
      <c r="A192" s="41"/>
      <c r="B192" s="41"/>
      <c r="C192" s="41"/>
      <c r="D192" s="41"/>
      <c r="E192" s="41"/>
      <c r="F192" s="41"/>
      <c r="G192" s="41"/>
      <c r="H192" s="41"/>
      <c r="I192" s="41"/>
      <c r="J192" s="41"/>
      <c r="K192" s="41"/>
      <c r="L192" s="41"/>
      <c r="M192" s="41"/>
      <c r="N192" s="41"/>
      <c r="O192" s="41"/>
      <c r="P192" s="41"/>
      <c r="Q192" s="41"/>
      <c r="R192" s="41"/>
      <c r="S192" s="41"/>
      <c r="T192" s="41"/>
      <c r="U192" s="41"/>
      <c r="V192" s="60"/>
      <c r="W192" s="41"/>
      <c r="X192" s="41"/>
      <c r="Y192" s="41"/>
      <c r="Z192" s="41"/>
      <c r="AA192" s="41"/>
      <c r="AB192" s="41"/>
      <c r="AC192" s="41"/>
      <c r="AD192" s="41"/>
      <c r="AE192" s="41"/>
      <c r="AF192" s="41"/>
      <c r="AG192" s="41"/>
      <c r="AH192" s="41"/>
      <c r="AI192" s="41"/>
      <c r="AJ192" s="41"/>
      <c r="AK192" s="41"/>
    </row>
    <row r="193" ht="13.5" customHeight="1">
      <c r="A193" s="41"/>
      <c r="B193" s="41"/>
      <c r="C193" s="41"/>
      <c r="D193" s="41"/>
      <c r="E193" s="41"/>
      <c r="F193" s="41"/>
      <c r="G193" s="41"/>
      <c r="H193" s="41"/>
      <c r="I193" s="41"/>
      <c r="J193" s="41"/>
      <c r="K193" s="41"/>
      <c r="L193" s="41"/>
      <c r="M193" s="41"/>
      <c r="N193" s="41"/>
      <c r="O193" s="41"/>
      <c r="P193" s="41"/>
      <c r="Q193" s="41"/>
      <c r="R193" s="41"/>
      <c r="S193" s="41"/>
      <c r="T193" s="41"/>
      <c r="U193" s="41"/>
      <c r="V193" s="60"/>
      <c r="W193" s="41"/>
      <c r="X193" s="41"/>
      <c r="Y193" s="41"/>
      <c r="Z193" s="41"/>
      <c r="AA193" s="41"/>
      <c r="AB193" s="41"/>
      <c r="AC193" s="41"/>
      <c r="AD193" s="41"/>
      <c r="AE193" s="41"/>
      <c r="AF193" s="41"/>
      <c r="AG193" s="41"/>
      <c r="AH193" s="41"/>
      <c r="AI193" s="41"/>
      <c r="AJ193" s="41"/>
      <c r="AK193" s="41"/>
    </row>
    <row r="194" ht="13.5" customHeight="1">
      <c r="A194" s="41"/>
      <c r="B194" s="41"/>
      <c r="C194" s="41"/>
      <c r="D194" s="41"/>
      <c r="E194" s="41"/>
      <c r="F194" s="41"/>
      <c r="G194" s="41"/>
      <c r="H194" s="41"/>
      <c r="I194" s="41"/>
      <c r="J194" s="41"/>
      <c r="K194" s="41"/>
      <c r="L194" s="41"/>
      <c r="M194" s="41"/>
      <c r="N194" s="41"/>
      <c r="O194" s="41"/>
      <c r="P194" s="41"/>
      <c r="Q194" s="41"/>
      <c r="R194" s="41"/>
      <c r="S194" s="41"/>
      <c r="T194" s="41"/>
      <c r="U194" s="41"/>
      <c r="V194" s="60"/>
      <c r="W194" s="41"/>
      <c r="X194" s="41"/>
      <c r="Y194" s="41"/>
      <c r="Z194" s="41"/>
      <c r="AA194" s="41"/>
      <c r="AB194" s="41"/>
      <c r="AC194" s="41"/>
      <c r="AD194" s="41"/>
      <c r="AE194" s="41"/>
      <c r="AF194" s="41"/>
      <c r="AG194" s="41"/>
      <c r="AH194" s="41"/>
      <c r="AI194" s="41"/>
      <c r="AJ194" s="41"/>
      <c r="AK194" s="41"/>
    </row>
    <row r="195" ht="13.5" customHeight="1">
      <c r="A195" s="41"/>
      <c r="B195" s="41"/>
      <c r="C195" s="41"/>
      <c r="D195" s="41"/>
      <c r="E195" s="41"/>
      <c r="F195" s="41"/>
      <c r="G195" s="41"/>
      <c r="H195" s="41"/>
      <c r="I195" s="41"/>
      <c r="J195" s="41"/>
      <c r="K195" s="41"/>
      <c r="L195" s="41"/>
      <c r="M195" s="41"/>
      <c r="N195" s="41"/>
      <c r="O195" s="41"/>
      <c r="P195" s="41"/>
      <c r="Q195" s="41"/>
      <c r="R195" s="41"/>
      <c r="S195" s="41"/>
      <c r="T195" s="41"/>
      <c r="U195" s="41"/>
      <c r="V195" s="60"/>
      <c r="W195" s="41"/>
      <c r="X195" s="41"/>
      <c r="Y195" s="41"/>
      <c r="Z195" s="41"/>
      <c r="AA195" s="41"/>
      <c r="AB195" s="41"/>
      <c r="AC195" s="41"/>
      <c r="AD195" s="41"/>
      <c r="AE195" s="41"/>
      <c r="AF195" s="41"/>
      <c r="AG195" s="41"/>
      <c r="AH195" s="41"/>
      <c r="AI195" s="41"/>
      <c r="AJ195" s="41"/>
      <c r="AK195" s="41"/>
    </row>
    <row r="196" ht="13.5" customHeight="1">
      <c r="A196" s="41"/>
      <c r="B196" s="41"/>
      <c r="C196" s="41"/>
      <c r="D196" s="41"/>
      <c r="E196" s="41"/>
      <c r="F196" s="41"/>
      <c r="G196" s="41"/>
      <c r="H196" s="41"/>
      <c r="I196" s="41"/>
      <c r="J196" s="41"/>
      <c r="K196" s="41"/>
      <c r="L196" s="41"/>
      <c r="M196" s="41"/>
      <c r="N196" s="41"/>
      <c r="O196" s="41"/>
      <c r="P196" s="41"/>
      <c r="Q196" s="41"/>
      <c r="R196" s="41"/>
      <c r="S196" s="41"/>
      <c r="T196" s="41"/>
      <c r="U196" s="41"/>
      <c r="V196" s="60"/>
      <c r="W196" s="41"/>
      <c r="X196" s="41"/>
      <c r="Y196" s="41"/>
      <c r="Z196" s="41"/>
      <c r="AA196" s="41"/>
      <c r="AB196" s="41"/>
      <c r="AC196" s="41"/>
      <c r="AD196" s="41"/>
      <c r="AE196" s="41"/>
      <c r="AF196" s="41"/>
      <c r="AG196" s="41"/>
      <c r="AH196" s="41"/>
      <c r="AI196" s="41"/>
      <c r="AJ196" s="41"/>
      <c r="AK196" s="41"/>
    </row>
    <row r="197" ht="13.5" customHeight="1">
      <c r="A197" s="41"/>
      <c r="B197" s="41"/>
      <c r="C197" s="41"/>
      <c r="D197" s="41"/>
      <c r="E197" s="41"/>
      <c r="F197" s="41"/>
      <c r="G197" s="41"/>
      <c r="H197" s="41"/>
      <c r="I197" s="41"/>
      <c r="J197" s="41"/>
      <c r="K197" s="41"/>
      <c r="L197" s="41"/>
      <c r="M197" s="41"/>
      <c r="N197" s="41"/>
      <c r="O197" s="41"/>
      <c r="P197" s="41"/>
      <c r="Q197" s="41"/>
      <c r="R197" s="41"/>
      <c r="S197" s="41"/>
      <c r="T197" s="41"/>
      <c r="U197" s="41"/>
      <c r="V197" s="60"/>
      <c r="W197" s="41"/>
      <c r="X197" s="41"/>
      <c r="Y197" s="41"/>
      <c r="Z197" s="41"/>
      <c r="AA197" s="41"/>
      <c r="AB197" s="41"/>
      <c r="AC197" s="41"/>
      <c r="AD197" s="41"/>
      <c r="AE197" s="41"/>
      <c r="AF197" s="41"/>
      <c r="AG197" s="41"/>
      <c r="AH197" s="41"/>
      <c r="AI197" s="41"/>
      <c r="AJ197" s="41"/>
      <c r="AK197" s="41"/>
    </row>
    <row r="198" ht="13.5" customHeight="1">
      <c r="A198" s="41"/>
      <c r="B198" s="41"/>
      <c r="C198" s="41"/>
      <c r="D198" s="41"/>
      <c r="E198" s="41"/>
      <c r="F198" s="41"/>
      <c r="G198" s="41"/>
      <c r="H198" s="41"/>
      <c r="I198" s="41"/>
      <c r="J198" s="41"/>
      <c r="K198" s="41"/>
      <c r="L198" s="41"/>
      <c r="M198" s="41"/>
      <c r="N198" s="41"/>
      <c r="O198" s="41"/>
      <c r="P198" s="41"/>
      <c r="Q198" s="41"/>
      <c r="R198" s="41"/>
      <c r="S198" s="41"/>
      <c r="T198" s="41"/>
      <c r="U198" s="41"/>
      <c r="V198" s="60"/>
      <c r="W198" s="41"/>
      <c r="X198" s="41"/>
      <c r="Y198" s="41"/>
      <c r="Z198" s="41"/>
      <c r="AA198" s="41"/>
      <c r="AB198" s="41"/>
      <c r="AC198" s="41"/>
      <c r="AD198" s="41"/>
      <c r="AE198" s="41"/>
      <c r="AF198" s="41"/>
      <c r="AG198" s="41"/>
      <c r="AH198" s="41"/>
      <c r="AI198" s="41"/>
      <c r="AJ198" s="41"/>
      <c r="AK198" s="41"/>
    </row>
    <row r="199" ht="13.5" customHeight="1">
      <c r="A199" s="41"/>
      <c r="B199" s="41"/>
      <c r="C199" s="41"/>
      <c r="D199" s="41"/>
      <c r="E199" s="41"/>
      <c r="F199" s="41"/>
      <c r="G199" s="41"/>
      <c r="H199" s="41"/>
      <c r="I199" s="41"/>
      <c r="J199" s="41"/>
      <c r="K199" s="41"/>
      <c r="L199" s="41"/>
      <c r="M199" s="41"/>
      <c r="N199" s="41"/>
      <c r="O199" s="41"/>
      <c r="P199" s="41"/>
      <c r="Q199" s="41"/>
      <c r="R199" s="41"/>
      <c r="S199" s="41"/>
      <c r="T199" s="41"/>
      <c r="U199" s="41"/>
      <c r="V199" s="60"/>
      <c r="W199" s="41"/>
      <c r="X199" s="41"/>
      <c r="Y199" s="41"/>
      <c r="Z199" s="41"/>
      <c r="AA199" s="41"/>
      <c r="AB199" s="41"/>
      <c r="AC199" s="41"/>
      <c r="AD199" s="41"/>
      <c r="AE199" s="41"/>
      <c r="AF199" s="41"/>
      <c r="AG199" s="41"/>
      <c r="AH199" s="41"/>
      <c r="AI199" s="41"/>
      <c r="AJ199" s="41"/>
      <c r="AK199" s="41"/>
    </row>
    <row r="200" ht="13.5" customHeight="1">
      <c r="A200" s="41"/>
      <c r="B200" s="41"/>
      <c r="C200" s="41"/>
      <c r="D200" s="41"/>
      <c r="E200" s="41"/>
      <c r="F200" s="41"/>
      <c r="G200" s="41"/>
      <c r="H200" s="41"/>
      <c r="I200" s="41"/>
      <c r="J200" s="41"/>
      <c r="K200" s="41"/>
      <c r="L200" s="41"/>
      <c r="M200" s="41"/>
      <c r="N200" s="41"/>
      <c r="O200" s="41"/>
      <c r="P200" s="41"/>
      <c r="Q200" s="41"/>
      <c r="R200" s="41"/>
      <c r="S200" s="41"/>
      <c r="T200" s="41"/>
      <c r="U200" s="41"/>
      <c r="V200" s="60"/>
      <c r="W200" s="41"/>
      <c r="X200" s="41"/>
      <c r="Y200" s="41"/>
      <c r="Z200" s="41"/>
      <c r="AA200" s="41"/>
      <c r="AB200" s="41"/>
      <c r="AC200" s="41"/>
      <c r="AD200" s="41"/>
      <c r="AE200" s="41"/>
      <c r="AF200" s="41"/>
      <c r="AG200" s="41"/>
      <c r="AH200" s="41"/>
      <c r="AI200" s="41"/>
      <c r="AJ200" s="41"/>
      <c r="AK200" s="4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2"/>
      <c r="W201" s="61"/>
      <c r="X201" s="61"/>
      <c r="Y201" s="61"/>
      <c r="Z201" s="61"/>
      <c r="AA201" s="61"/>
      <c r="AB201" s="61"/>
      <c r="AC201" s="61"/>
      <c r="AD201" s="61"/>
      <c r="AE201" s="61"/>
      <c r="AF201" s="61"/>
      <c r="AG201" s="61"/>
      <c r="AH201" s="61"/>
      <c r="AI201" s="61"/>
      <c r="AJ201" s="61"/>
      <c r="AK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2"/>
      <c r="W202" s="61"/>
      <c r="X202" s="61"/>
      <c r="Y202" s="61"/>
      <c r="Z202" s="61"/>
      <c r="AA202" s="61"/>
      <c r="AB202" s="61"/>
      <c r="AC202" s="61"/>
      <c r="AD202" s="61"/>
      <c r="AE202" s="61"/>
      <c r="AF202" s="61"/>
      <c r="AG202" s="61"/>
      <c r="AH202" s="61"/>
      <c r="AI202" s="61"/>
      <c r="AJ202" s="61"/>
      <c r="AK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2"/>
      <c r="W203" s="61"/>
      <c r="X203" s="61"/>
      <c r="Y203" s="61"/>
      <c r="Z203" s="61"/>
      <c r="AA203" s="61"/>
      <c r="AB203" s="61"/>
      <c r="AC203" s="61"/>
      <c r="AD203" s="61"/>
      <c r="AE203" s="61"/>
      <c r="AF203" s="61"/>
      <c r="AG203" s="61"/>
      <c r="AH203" s="61"/>
      <c r="AI203" s="61"/>
      <c r="AJ203" s="61"/>
      <c r="AK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2"/>
      <c r="W204" s="61"/>
      <c r="X204" s="61"/>
      <c r="Y204" s="61"/>
      <c r="Z204" s="61"/>
      <c r="AA204" s="61"/>
      <c r="AB204" s="61"/>
      <c r="AC204" s="61"/>
      <c r="AD204" s="61"/>
      <c r="AE204" s="61"/>
      <c r="AF204" s="61"/>
      <c r="AG204" s="61"/>
      <c r="AH204" s="61"/>
      <c r="AI204" s="61"/>
      <c r="AJ204" s="61"/>
      <c r="AK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2"/>
      <c r="W205" s="61"/>
      <c r="X205" s="61"/>
      <c r="Y205" s="61"/>
      <c r="Z205" s="61"/>
      <c r="AA205" s="61"/>
      <c r="AB205" s="61"/>
      <c r="AC205" s="61"/>
      <c r="AD205" s="61"/>
      <c r="AE205" s="61"/>
      <c r="AF205" s="61"/>
      <c r="AG205" s="61"/>
      <c r="AH205" s="61"/>
      <c r="AI205" s="61"/>
      <c r="AJ205" s="61"/>
      <c r="AK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2"/>
      <c r="W206" s="61"/>
      <c r="X206" s="61"/>
      <c r="Y206" s="61"/>
      <c r="Z206" s="61"/>
      <c r="AA206" s="61"/>
      <c r="AB206" s="61"/>
      <c r="AC206" s="61"/>
      <c r="AD206" s="61"/>
      <c r="AE206" s="61"/>
      <c r="AF206" s="61"/>
      <c r="AG206" s="61"/>
      <c r="AH206" s="61"/>
      <c r="AI206" s="61"/>
      <c r="AJ206" s="61"/>
      <c r="AK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2"/>
      <c r="W207" s="61"/>
      <c r="X207" s="61"/>
      <c r="Y207" s="61"/>
      <c r="Z207" s="61"/>
      <c r="AA207" s="61"/>
      <c r="AB207" s="61"/>
      <c r="AC207" s="61"/>
      <c r="AD207" s="61"/>
      <c r="AE207" s="61"/>
      <c r="AF207" s="61"/>
      <c r="AG207" s="61"/>
      <c r="AH207" s="61"/>
      <c r="AI207" s="61"/>
      <c r="AJ207" s="61"/>
      <c r="AK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2"/>
      <c r="W208" s="61"/>
      <c r="X208" s="61"/>
      <c r="Y208" s="61"/>
      <c r="Z208" s="61"/>
      <c r="AA208" s="61"/>
      <c r="AB208" s="61"/>
      <c r="AC208" s="61"/>
      <c r="AD208" s="61"/>
      <c r="AE208" s="61"/>
      <c r="AF208" s="61"/>
      <c r="AG208" s="61"/>
      <c r="AH208" s="61"/>
      <c r="AI208" s="61"/>
      <c r="AJ208" s="61"/>
      <c r="AK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2"/>
      <c r="W209" s="61"/>
      <c r="X209" s="61"/>
      <c r="Y209" s="61"/>
      <c r="Z209" s="61"/>
      <c r="AA209" s="61"/>
      <c r="AB209" s="61"/>
      <c r="AC209" s="61"/>
      <c r="AD209" s="61"/>
      <c r="AE209" s="61"/>
      <c r="AF209" s="61"/>
      <c r="AG209" s="61"/>
      <c r="AH209" s="61"/>
      <c r="AI209" s="61"/>
      <c r="AJ209" s="61"/>
      <c r="AK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2"/>
      <c r="W210" s="61"/>
      <c r="X210" s="61"/>
      <c r="Y210" s="61"/>
      <c r="Z210" s="61"/>
      <c r="AA210" s="61"/>
      <c r="AB210" s="61"/>
      <c r="AC210" s="61"/>
      <c r="AD210" s="61"/>
      <c r="AE210" s="61"/>
      <c r="AF210" s="61"/>
      <c r="AG210" s="61"/>
      <c r="AH210" s="61"/>
      <c r="AI210" s="61"/>
      <c r="AJ210" s="61"/>
      <c r="AK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2"/>
      <c r="W211" s="61"/>
      <c r="X211" s="61"/>
      <c r="Y211" s="61"/>
      <c r="Z211" s="61"/>
      <c r="AA211" s="61"/>
      <c r="AB211" s="61"/>
      <c r="AC211" s="61"/>
      <c r="AD211" s="61"/>
      <c r="AE211" s="61"/>
      <c r="AF211" s="61"/>
      <c r="AG211" s="61"/>
      <c r="AH211" s="61"/>
      <c r="AI211" s="61"/>
      <c r="AJ211" s="61"/>
      <c r="AK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2"/>
      <c r="W212" s="61"/>
      <c r="X212" s="61"/>
      <c r="Y212" s="61"/>
      <c r="Z212" s="61"/>
      <c r="AA212" s="61"/>
      <c r="AB212" s="61"/>
      <c r="AC212" s="61"/>
      <c r="AD212" s="61"/>
      <c r="AE212" s="61"/>
      <c r="AF212" s="61"/>
      <c r="AG212" s="61"/>
      <c r="AH212" s="61"/>
      <c r="AI212" s="61"/>
      <c r="AJ212" s="61"/>
      <c r="AK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2"/>
      <c r="W213" s="61"/>
      <c r="X213" s="61"/>
      <c r="Y213" s="61"/>
      <c r="Z213" s="61"/>
      <c r="AA213" s="61"/>
      <c r="AB213" s="61"/>
      <c r="AC213" s="61"/>
      <c r="AD213" s="61"/>
      <c r="AE213" s="61"/>
      <c r="AF213" s="61"/>
      <c r="AG213" s="61"/>
      <c r="AH213" s="61"/>
      <c r="AI213" s="61"/>
      <c r="AJ213" s="61"/>
      <c r="AK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2"/>
      <c r="W214" s="61"/>
      <c r="X214" s="61"/>
      <c r="Y214" s="61"/>
      <c r="Z214" s="61"/>
      <c r="AA214" s="61"/>
      <c r="AB214" s="61"/>
      <c r="AC214" s="61"/>
      <c r="AD214" s="61"/>
      <c r="AE214" s="61"/>
      <c r="AF214" s="61"/>
      <c r="AG214" s="61"/>
      <c r="AH214" s="61"/>
      <c r="AI214" s="61"/>
      <c r="AJ214" s="61"/>
      <c r="AK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2"/>
      <c r="W215" s="61"/>
      <c r="X215" s="61"/>
      <c r="Y215" s="61"/>
      <c r="Z215" s="61"/>
      <c r="AA215" s="61"/>
      <c r="AB215" s="61"/>
      <c r="AC215" s="61"/>
      <c r="AD215" s="61"/>
      <c r="AE215" s="61"/>
      <c r="AF215" s="61"/>
      <c r="AG215" s="61"/>
      <c r="AH215" s="61"/>
      <c r="AI215" s="61"/>
      <c r="AJ215" s="61"/>
      <c r="AK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2"/>
      <c r="W216" s="61"/>
      <c r="X216" s="61"/>
      <c r="Y216" s="61"/>
      <c r="Z216" s="61"/>
      <c r="AA216" s="61"/>
      <c r="AB216" s="61"/>
      <c r="AC216" s="61"/>
      <c r="AD216" s="61"/>
      <c r="AE216" s="61"/>
      <c r="AF216" s="61"/>
      <c r="AG216" s="61"/>
      <c r="AH216" s="61"/>
      <c r="AI216" s="61"/>
      <c r="AJ216" s="61"/>
      <c r="AK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2"/>
      <c r="W217" s="61"/>
      <c r="X217" s="61"/>
      <c r="Y217" s="61"/>
      <c r="Z217" s="61"/>
      <c r="AA217" s="61"/>
      <c r="AB217" s="61"/>
      <c r="AC217" s="61"/>
      <c r="AD217" s="61"/>
      <c r="AE217" s="61"/>
      <c r="AF217" s="61"/>
      <c r="AG217" s="61"/>
      <c r="AH217" s="61"/>
      <c r="AI217" s="61"/>
      <c r="AJ217" s="61"/>
      <c r="AK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2"/>
      <c r="W218" s="61"/>
      <c r="X218" s="61"/>
      <c r="Y218" s="61"/>
      <c r="Z218" s="61"/>
      <c r="AA218" s="61"/>
      <c r="AB218" s="61"/>
      <c r="AC218" s="61"/>
      <c r="AD218" s="61"/>
      <c r="AE218" s="61"/>
      <c r="AF218" s="61"/>
      <c r="AG218" s="61"/>
      <c r="AH218" s="61"/>
      <c r="AI218" s="61"/>
      <c r="AJ218" s="61"/>
      <c r="AK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2"/>
      <c r="W219" s="61"/>
      <c r="X219" s="61"/>
      <c r="Y219" s="61"/>
      <c r="Z219" s="61"/>
      <c r="AA219" s="61"/>
      <c r="AB219" s="61"/>
      <c r="AC219" s="61"/>
      <c r="AD219" s="61"/>
      <c r="AE219" s="61"/>
      <c r="AF219" s="61"/>
      <c r="AG219" s="61"/>
      <c r="AH219" s="61"/>
      <c r="AI219" s="61"/>
      <c r="AJ219" s="61"/>
      <c r="AK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2"/>
      <c r="W220" s="61"/>
      <c r="X220" s="61"/>
      <c r="Y220" s="61"/>
      <c r="Z220" s="61"/>
      <c r="AA220" s="61"/>
      <c r="AB220" s="61"/>
      <c r="AC220" s="61"/>
      <c r="AD220" s="61"/>
      <c r="AE220" s="61"/>
      <c r="AF220" s="61"/>
      <c r="AG220" s="61"/>
      <c r="AH220" s="61"/>
      <c r="AI220" s="61"/>
      <c r="AJ220" s="61"/>
      <c r="AK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2"/>
      <c r="W221" s="61"/>
      <c r="X221" s="61"/>
      <c r="Y221" s="61"/>
      <c r="Z221" s="61"/>
      <c r="AA221" s="61"/>
      <c r="AB221" s="61"/>
      <c r="AC221" s="61"/>
      <c r="AD221" s="61"/>
      <c r="AE221" s="61"/>
      <c r="AF221" s="61"/>
      <c r="AG221" s="61"/>
      <c r="AH221" s="61"/>
      <c r="AI221" s="61"/>
      <c r="AJ221" s="61"/>
      <c r="AK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2"/>
      <c r="W222" s="61"/>
      <c r="X222" s="61"/>
      <c r="Y222" s="61"/>
      <c r="Z222" s="61"/>
      <c r="AA222" s="61"/>
      <c r="AB222" s="61"/>
      <c r="AC222" s="61"/>
      <c r="AD222" s="61"/>
      <c r="AE222" s="61"/>
      <c r="AF222" s="61"/>
      <c r="AG222" s="61"/>
      <c r="AH222" s="61"/>
      <c r="AI222" s="61"/>
      <c r="AJ222" s="61"/>
      <c r="AK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2"/>
      <c r="W223" s="61"/>
      <c r="X223" s="61"/>
      <c r="Y223" s="61"/>
      <c r="Z223" s="61"/>
      <c r="AA223" s="61"/>
      <c r="AB223" s="61"/>
      <c r="AC223" s="61"/>
      <c r="AD223" s="61"/>
      <c r="AE223" s="61"/>
      <c r="AF223" s="61"/>
      <c r="AG223" s="61"/>
      <c r="AH223" s="61"/>
      <c r="AI223" s="61"/>
      <c r="AJ223" s="61"/>
      <c r="AK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2"/>
      <c r="W224" s="61"/>
      <c r="X224" s="61"/>
      <c r="Y224" s="61"/>
      <c r="Z224" s="61"/>
      <c r="AA224" s="61"/>
      <c r="AB224" s="61"/>
      <c r="AC224" s="61"/>
      <c r="AD224" s="61"/>
      <c r="AE224" s="61"/>
      <c r="AF224" s="61"/>
      <c r="AG224" s="61"/>
      <c r="AH224" s="61"/>
      <c r="AI224" s="61"/>
      <c r="AJ224" s="61"/>
      <c r="AK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2"/>
      <c r="W225" s="61"/>
      <c r="X225" s="61"/>
      <c r="Y225" s="61"/>
      <c r="Z225" s="61"/>
      <c r="AA225" s="61"/>
      <c r="AB225" s="61"/>
      <c r="AC225" s="61"/>
      <c r="AD225" s="61"/>
      <c r="AE225" s="61"/>
      <c r="AF225" s="61"/>
      <c r="AG225" s="61"/>
      <c r="AH225" s="61"/>
      <c r="AI225" s="61"/>
      <c r="AJ225" s="61"/>
      <c r="AK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2"/>
      <c r="W226" s="61"/>
      <c r="X226" s="61"/>
      <c r="Y226" s="61"/>
      <c r="Z226" s="61"/>
      <c r="AA226" s="61"/>
      <c r="AB226" s="61"/>
      <c r="AC226" s="61"/>
      <c r="AD226" s="61"/>
      <c r="AE226" s="61"/>
      <c r="AF226" s="61"/>
      <c r="AG226" s="61"/>
      <c r="AH226" s="61"/>
      <c r="AI226" s="61"/>
      <c r="AJ226" s="61"/>
      <c r="AK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2"/>
      <c r="W227" s="61"/>
      <c r="X227" s="61"/>
      <c r="Y227" s="61"/>
      <c r="Z227" s="61"/>
      <c r="AA227" s="61"/>
      <c r="AB227" s="61"/>
      <c r="AC227" s="61"/>
      <c r="AD227" s="61"/>
      <c r="AE227" s="61"/>
      <c r="AF227" s="61"/>
      <c r="AG227" s="61"/>
      <c r="AH227" s="61"/>
      <c r="AI227" s="61"/>
      <c r="AJ227" s="61"/>
      <c r="AK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2"/>
      <c r="W228" s="61"/>
      <c r="X228" s="61"/>
      <c r="Y228" s="61"/>
      <c r="Z228" s="61"/>
      <c r="AA228" s="61"/>
      <c r="AB228" s="61"/>
      <c r="AC228" s="61"/>
      <c r="AD228" s="61"/>
      <c r="AE228" s="61"/>
      <c r="AF228" s="61"/>
      <c r="AG228" s="61"/>
      <c r="AH228" s="61"/>
      <c r="AI228" s="61"/>
      <c r="AJ228" s="61"/>
      <c r="AK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2"/>
      <c r="W229" s="61"/>
      <c r="X229" s="61"/>
      <c r="Y229" s="61"/>
      <c r="Z229" s="61"/>
      <c r="AA229" s="61"/>
      <c r="AB229" s="61"/>
      <c r="AC229" s="61"/>
      <c r="AD229" s="61"/>
      <c r="AE229" s="61"/>
      <c r="AF229" s="61"/>
      <c r="AG229" s="61"/>
      <c r="AH229" s="61"/>
      <c r="AI229" s="61"/>
      <c r="AJ229" s="61"/>
      <c r="AK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2"/>
      <c r="W230" s="61"/>
      <c r="X230" s="61"/>
      <c r="Y230" s="61"/>
      <c r="Z230" s="61"/>
      <c r="AA230" s="61"/>
      <c r="AB230" s="61"/>
      <c r="AC230" s="61"/>
      <c r="AD230" s="61"/>
      <c r="AE230" s="61"/>
      <c r="AF230" s="61"/>
      <c r="AG230" s="61"/>
      <c r="AH230" s="61"/>
      <c r="AI230" s="61"/>
      <c r="AJ230" s="61"/>
      <c r="AK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2"/>
      <c r="W231" s="61"/>
      <c r="X231" s="61"/>
      <c r="Y231" s="61"/>
      <c r="Z231" s="61"/>
      <c r="AA231" s="61"/>
      <c r="AB231" s="61"/>
      <c r="AC231" s="61"/>
      <c r="AD231" s="61"/>
      <c r="AE231" s="61"/>
      <c r="AF231" s="61"/>
      <c r="AG231" s="61"/>
      <c r="AH231" s="61"/>
      <c r="AI231" s="61"/>
      <c r="AJ231" s="61"/>
      <c r="AK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2"/>
      <c r="W232" s="61"/>
      <c r="X232" s="61"/>
      <c r="Y232" s="61"/>
      <c r="Z232" s="61"/>
      <c r="AA232" s="61"/>
      <c r="AB232" s="61"/>
      <c r="AC232" s="61"/>
      <c r="AD232" s="61"/>
      <c r="AE232" s="61"/>
      <c r="AF232" s="61"/>
      <c r="AG232" s="61"/>
      <c r="AH232" s="61"/>
      <c r="AI232" s="61"/>
      <c r="AJ232" s="61"/>
      <c r="AK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2"/>
      <c r="W233" s="61"/>
      <c r="X233" s="61"/>
      <c r="Y233" s="61"/>
      <c r="Z233" s="61"/>
      <c r="AA233" s="61"/>
      <c r="AB233" s="61"/>
      <c r="AC233" s="61"/>
      <c r="AD233" s="61"/>
      <c r="AE233" s="61"/>
      <c r="AF233" s="61"/>
      <c r="AG233" s="61"/>
      <c r="AH233" s="61"/>
      <c r="AI233" s="61"/>
      <c r="AJ233" s="61"/>
      <c r="AK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2"/>
      <c r="W234" s="61"/>
      <c r="X234" s="61"/>
      <c r="Y234" s="61"/>
      <c r="Z234" s="61"/>
      <c r="AA234" s="61"/>
      <c r="AB234" s="61"/>
      <c r="AC234" s="61"/>
      <c r="AD234" s="61"/>
      <c r="AE234" s="61"/>
      <c r="AF234" s="61"/>
      <c r="AG234" s="61"/>
      <c r="AH234" s="61"/>
      <c r="AI234" s="61"/>
      <c r="AJ234" s="61"/>
      <c r="AK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2"/>
      <c r="W235" s="61"/>
      <c r="X235" s="61"/>
      <c r="Y235" s="61"/>
      <c r="Z235" s="61"/>
      <c r="AA235" s="61"/>
      <c r="AB235" s="61"/>
      <c r="AC235" s="61"/>
      <c r="AD235" s="61"/>
      <c r="AE235" s="61"/>
      <c r="AF235" s="61"/>
      <c r="AG235" s="61"/>
      <c r="AH235" s="61"/>
      <c r="AI235" s="61"/>
      <c r="AJ235" s="61"/>
      <c r="AK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2"/>
      <c r="W236" s="61"/>
      <c r="X236" s="61"/>
      <c r="Y236" s="61"/>
      <c r="Z236" s="61"/>
      <c r="AA236" s="61"/>
      <c r="AB236" s="61"/>
      <c r="AC236" s="61"/>
      <c r="AD236" s="61"/>
      <c r="AE236" s="61"/>
      <c r="AF236" s="61"/>
      <c r="AG236" s="61"/>
      <c r="AH236" s="61"/>
      <c r="AI236" s="61"/>
      <c r="AJ236" s="61"/>
      <c r="AK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2"/>
      <c r="W237" s="61"/>
      <c r="X237" s="61"/>
      <c r="Y237" s="61"/>
      <c r="Z237" s="61"/>
      <c r="AA237" s="61"/>
      <c r="AB237" s="61"/>
      <c r="AC237" s="61"/>
      <c r="AD237" s="61"/>
      <c r="AE237" s="61"/>
      <c r="AF237" s="61"/>
      <c r="AG237" s="61"/>
      <c r="AH237" s="61"/>
      <c r="AI237" s="61"/>
      <c r="AJ237" s="61"/>
      <c r="AK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2"/>
      <c r="W238" s="61"/>
      <c r="X238" s="61"/>
      <c r="Y238" s="61"/>
      <c r="Z238" s="61"/>
      <c r="AA238" s="61"/>
      <c r="AB238" s="61"/>
      <c r="AC238" s="61"/>
      <c r="AD238" s="61"/>
      <c r="AE238" s="61"/>
      <c r="AF238" s="61"/>
      <c r="AG238" s="61"/>
      <c r="AH238" s="61"/>
      <c r="AI238" s="61"/>
      <c r="AJ238" s="61"/>
      <c r="AK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2"/>
      <c r="W239" s="61"/>
      <c r="X239" s="61"/>
      <c r="Y239" s="61"/>
      <c r="Z239" s="61"/>
      <c r="AA239" s="61"/>
      <c r="AB239" s="61"/>
      <c r="AC239" s="61"/>
      <c r="AD239" s="61"/>
      <c r="AE239" s="61"/>
      <c r="AF239" s="61"/>
      <c r="AG239" s="61"/>
      <c r="AH239" s="61"/>
      <c r="AI239" s="61"/>
      <c r="AJ239" s="61"/>
      <c r="AK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2"/>
      <c r="W240" s="61"/>
      <c r="X240" s="61"/>
      <c r="Y240" s="61"/>
      <c r="Z240" s="61"/>
      <c r="AA240" s="61"/>
      <c r="AB240" s="61"/>
      <c r="AC240" s="61"/>
      <c r="AD240" s="61"/>
      <c r="AE240" s="61"/>
      <c r="AF240" s="61"/>
      <c r="AG240" s="61"/>
      <c r="AH240" s="61"/>
      <c r="AI240" s="61"/>
      <c r="AJ240" s="61"/>
      <c r="AK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2"/>
      <c r="W241" s="61"/>
      <c r="X241" s="61"/>
      <c r="Y241" s="61"/>
      <c r="Z241" s="61"/>
      <c r="AA241" s="61"/>
      <c r="AB241" s="61"/>
      <c r="AC241" s="61"/>
      <c r="AD241" s="61"/>
      <c r="AE241" s="61"/>
      <c r="AF241" s="61"/>
      <c r="AG241" s="61"/>
      <c r="AH241" s="61"/>
      <c r="AI241" s="61"/>
      <c r="AJ241" s="61"/>
      <c r="AK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2"/>
      <c r="W242" s="61"/>
      <c r="X242" s="61"/>
      <c r="Y242" s="61"/>
      <c r="Z242" s="61"/>
      <c r="AA242" s="61"/>
      <c r="AB242" s="61"/>
      <c r="AC242" s="61"/>
      <c r="AD242" s="61"/>
      <c r="AE242" s="61"/>
      <c r="AF242" s="61"/>
      <c r="AG242" s="61"/>
      <c r="AH242" s="61"/>
      <c r="AI242" s="61"/>
      <c r="AJ242" s="61"/>
      <c r="AK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2"/>
      <c r="W243" s="61"/>
      <c r="X243" s="61"/>
      <c r="Y243" s="61"/>
      <c r="Z243" s="61"/>
      <c r="AA243" s="61"/>
      <c r="AB243" s="61"/>
      <c r="AC243" s="61"/>
      <c r="AD243" s="61"/>
      <c r="AE243" s="61"/>
      <c r="AF243" s="61"/>
      <c r="AG243" s="61"/>
      <c r="AH243" s="61"/>
      <c r="AI243" s="61"/>
      <c r="AJ243" s="61"/>
      <c r="AK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2"/>
      <c r="W244" s="61"/>
      <c r="X244" s="61"/>
      <c r="Y244" s="61"/>
      <c r="Z244" s="61"/>
      <c r="AA244" s="61"/>
      <c r="AB244" s="61"/>
      <c r="AC244" s="61"/>
      <c r="AD244" s="61"/>
      <c r="AE244" s="61"/>
      <c r="AF244" s="61"/>
      <c r="AG244" s="61"/>
      <c r="AH244" s="61"/>
      <c r="AI244" s="61"/>
      <c r="AJ244" s="61"/>
      <c r="AK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2"/>
      <c r="W245" s="61"/>
      <c r="X245" s="61"/>
      <c r="Y245" s="61"/>
      <c r="Z245" s="61"/>
      <c r="AA245" s="61"/>
      <c r="AB245" s="61"/>
      <c r="AC245" s="61"/>
      <c r="AD245" s="61"/>
      <c r="AE245" s="61"/>
      <c r="AF245" s="61"/>
      <c r="AG245" s="61"/>
      <c r="AH245" s="61"/>
      <c r="AI245" s="61"/>
      <c r="AJ245" s="61"/>
      <c r="AK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2"/>
      <c r="W246" s="61"/>
      <c r="X246" s="61"/>
      <c r="Y246" s="61"/>
      <c r="Z246" s="61"/>
      <c r="AA246" s="61"/>
      <c r="AB246" s="61"/>
      <c r="AC246" s="61"/>
      <c r="AD246" s="61"/>
      <c r="AE246" s="61"/>
      <c r="AF246" s="61"/>
      <c r="AG246" s="61"/>
      <c r="AH246" s="61"/>
      <c r="AI246" s="61"/>
      <c r="AJ246" s="61"/>
      <c r="AK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2"/>
      <c r="W247" s="61"/>
      <c r="X247" s="61"/>
      <c r="Y247" s="61"/>
      <c r="Z247" s="61"/>
      <c r="AA247" s="61"/>
      <c r="AB247" s="61"/>
      <c r="AC247" s="61"/>
      <c r="AD247" s="61"/>
      <c r="AE247" s="61"/>
      <c r="AF247" s="61"/>
      <c r="AG247" s="61"/>
      <c r="AH247" s="61"/>
      <c r="AI247" s="61"/>
      <c r="AJ247" s="61"/>
      <c r="AK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2"/>
      <c r="W248" s="61"/>
      <c r="X248" s="61"/>
      <c r="Y248" s="61"/>
      <c r="Z248" s="61"/>
      <c r="AA248" s="61"/>
      <c r="AB248" s="61"/>
      <c r="AC248" s="61"/>
      <c r="AD248" s="61"/>
      <c r="AE248" s="61"/>
      <c r="AF248" s="61"/>
      <c r="AG248" s="61"/>
      <c r="AH248" s="61"/>
      <c r="AI248" s="61"/>
      <c r="AJ248" s="61"/>
      <c r="AK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2"/>
      <c r="W249" s="61"/>
      <c r="X249" s="61"/>
      <c r="Y249" s="61"/>
      <c r="Z249" s="61"/>
      <c r="AA249" s="61"/>
      <c r="AB249" s="61"/>
      <c r="AC249" s="61"/>
      <c r="AD249" s="61"/>
      <c r="AE249" s="61"/>
      <c r="AF249" s="61"/>
      <c r="AG249" s="61"/>
      <c r="AH249" s="61"/>
      <c r="AI249" s="61"/>
      <c r="AJ249" s="61"/>
      <c r="AK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2"/>
      <c r="W250" s="61"/>
      <c r="X250" s="61"/>
      <c r="Y250" s="61"/>
      <c r="Z250" s="61"/>
      <c r="AA250" s="61"/>
      <c r="AB250" s="61"/>
      <c r="AC250" s="61"/>
      <c r="AD250" s="61"/>
      <c r="AE250" s="61"/>
      <c r="AF250" s="61"/>
      <c r="AG250" s="61"/>
      <c r="AH250" s="61"/>
      <c r="AI250" s="61"/>
      <c r="AJ250" s="61"/>
      <c r="AK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2"/>
      <c r="W251" s="61"/>
      <c r="X251" s="61"/>
      <c r="Y251" s="61"/>
      <c r="Z251" s="61"/>
      <c r="AA251" s="61"/>
      <c r="AB251" s="61"/>
      <c r="AC251" s="61"/>
      <c r="AD251" s="61"/>
      <c r="AE251" s="61"/>
      <c r="AF251" s="61"/>
      <c r="AG251" s="61"/>
      <c r="AH251" s="61"/>
      <c r="AI251" s="61"/>
      <c r="AJ251" s="61"/>
      <c r="AK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2"/>
      <c r="W252" s="61"/>
      <c r="X252" s="61"/>
      <c r="Y252" s="61"/>
      <c r="Z252" s="61"/>
      <c r="AA252" s="61"/>
      <c r="AB252" s="61"/>
      <c r="AC252" s="61"/>
      <c r="AD252" s="61"/>
      <c r="AE252" s="61"/>
      <c r="AF252" s="61"/>
      <c r="AG252" s="61"/>
      <c r="AH252" s="61"/>
      <c r="AI252" s="61"/>
      <c r="AJ252" s="61"/>
      <c r="AK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2"/>
      <c r="W253" s="61"/>
      <c r="X253" s="61"/>
      <c r="Y253" s="61"/>
      <c r="Z253" s="61"/>
      <c r="AA253" s="61"/>
      <c r="AB253" s="61"/>
      <c r="AC253" s="61"/>
      <c r="AD253" s="61"/>
      <c r="AE253" s="61"/>
      <c r="AF253" s="61"/>
      <c r="AG253" s="61"/>
      <c r="AH253" s="61"/>
      <c r="AI253" s="61"/>
      <c r="AJ253" s="61"/>
      <c r="AK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2"/>
      <c r="W254" s="61"/>
      <c r="X254" s="61"/>
      <c r="Y254" s="61"/>
      <c r="Z254" s="61"/>
      <c r="AA254" s="61"/>
      <c r="AB254" s="61"/>
      <c r="AC254" s="61"/>
      <c r="AD254" s="61"/>
      <c r="AE254" s="61"/>
      <c r="AF254" s="61"/>
      <c r="AG254" s="61"/>
      <c r="AH254" s="61"/>
      <c r="AI254" s="61"/>
      <c r="AJ254" s="61"/>
      <c r="AK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2"/>
      <c r="W255" s="61"/>
      <c r="X255" s="61"/>
      <c r="Y255" s="61"/>
      <c r="Z255" s="61"/>
      <c r="AA255" s="61"/>
      <c r="AB255" s="61"/>
      <c r="AC255" s="61"/>
      <c r="AD255" s="61"/>
      <c r="AE255" s="61"/>
      <c r="AF255" s="61"/>
      <c r="AG255" s="61"/>
      <c r="AH255" s="61"/>
      <c r="AI255" s="61"/>
      <c r="AJ255" s="61"/>
      <c r="AK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2"/>
      <c r="W256" s="61"/>
      <c r="X256" s="61"/>
      <c r="Y256" s="61"/>
      <c r="Z256" s="61"/>
      <c r="AA256" s="61"/>
      <c r="AB256" s="61"/>
      <c r="AC256" s="61"/>
      <c r="AD256" s="61"/>
      <c r="AE256" s="61"/>
      <c r="AF256" s="61"/>
      <c r="AG256" s="61"/>
      <c r="AH256" s="61"/>
      <c r="AI256" s="61"/>
      <c r="AJ256" s="61"/>
      <c r="AK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2"/>
      <c r="W257" s="61"/>
      <c r="X257" s="61"/>
      <c r="Y257" s="61"/>
      <c r="Z257" s="61"/>
      <c r="AA257" s="61"/>
      <c r="AB257" s="61"/>
      <c r="AC257" s="61"/>
      <c r="AD257" s="61"/>
      <c r="AE257" s="61"/>
      <c r="AF257" s="61"/>
      <c r="AG257" s="61"/>
      <c r="AH257" s="61"/>
      <c r="AI257" s="61"/>
      <c r="AJ257" s="61"/>
      <c r="AK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2"/>
      <c r="W258" s="61"/>
      <c r="X258" s="61"/>
      <c r="Y258" s="61"/>
      <c r="Z258" s="61"/>
      <c r="AA258" s="61"/>
      <c r="AB258" s="61"/>
      <c r="AC258" s="61"/>
      <c r="AD258" s="61"/>
      <c r="AE258" s="61"/>
      <c r="AF258" s="61"/>
      <c r="AG258" s="61"/>
      <c r="AH258" s="61"/>
      <c r="AI258" s="61"/>
      <c r="AJ258" s="61"/>
      <c r="AK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2"/>
      <c r="W259" s="61"/>
      <c r="X259" s="61"/>
      <c r="Y259" s="61"/>
      <c r="Z259" s="61"/>
      <c r="AA259" s="61"/>
      <c r="AB259" s="61"/>
      <c r="AC259" s="61"/>
      <c r="AD259" s="61"/>
      <c r="AE259" s="61"/>
      <c r="AF259" s="61"/>
      <c r="AG259" s="61"/>
      <c r="AH259" s="61"/>
      <c r="AI259" s="61"/>
      <c r="AJ259" s="61"/>
      <c r="AK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2"/>
      <c r="W260" s="61"/>
      <c r="X260" s="61"/>
      <c r="Y260" s="61"/>
      <c r="Z260" s="61"/>
      <c r="AA260" s="61"/>
      <c r="AB260" s="61"/>
      <c r="AC260" s="61"/>
      <c r="AD260" s="61"/>
      <c r="AE260" s="61"/>
      <c r="AF260" s="61"/>
      <c r="AG260" s="61"/>
      <c r="AH260" s="61"/>
      <c r="AI260" s="61"/>
      <c r="AJ260" s="61"/>
      <c r="AK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2"/>
      <c r="W261" s="61"/>
      <c r="X261" s="61"/>
      <c r="Y261" s="61"/>
      <c r="Z261" s="61"/>
      <c r="AA261" s="61"/>
      <c r="AB261" s="61"/>
      <c r="AC261" s="61"/>
      <c r="AD261" s="61"/>
      <c r="AE261" s="61"/>
      <c r="AF261" s="61"/>
      <c r="AG261" s="61"/>
      <c r="AH261" s="61"/>
      <c r="AI261" s="61"/>
      <c r="AJ261" s="61"/>
      <c r="AK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2"/>
      <c r="W262" s="61"/>
      <c r="X262" s="61"/>
      <c r="Y262" s="61"/>
      <c r="Z262" s="61"/>
      <c r="AA262" s="61"/>
      <c r="AB262" s="61"/>
      <c r="AC262" s="61"/>
      <c r="AD262" s="61"/>
      <c r="AE262" s="61"/>
      <c r="AF262" s="61"/>
      <c r="AG262" s="61"/>
      <c r="AH262" s="61"/>
      <c r="AI262" s="61"/>
      <c r="AJ262" s="61"/>
      <c r="AK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2"/>
      <c r="W263" s="61"/>
      <c r="X263" s="61"/>
      <c r="Y263" s="61"/>
      <c r="Z263" s="61"/>
      <c r="AA263" s="61"/>
      <c r="AB263" s="61"/>
      <c r="AC263" s="61"/>
      <c r="AD263" s="61"/>
      <c r="AE263" s="61"/>
      <c r="AF263" s="61"/>
      <c r="AG263" s="61"/>
      <c r="AH263" s="61"/>
      <c r="AI263" s="61"/>
      <c r="AJ263" s="61"/>
      <c r="AK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2"/>
      <c r="W264" s="61"/>
      <c r="X264" s="61"/>
      <c r="Y264" s="61"/>
      <c r="Z264" s="61"/>
      <c r="AA264" s="61"/>
      <c r="AB264" s="61"/>
      <c r="AC264" s="61"/>
      <c r="AD264" s="61"/>
      <c r="AE264" s="61"/>
      <c r="AF264" s="61"/>
      <c r="AG264" s="61"/>
      <c r="AH264" s="61"/>
      <c r="AI264" s="61"/>
      <c r="AJ264" s="61"/>
      <c r="AK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2"/>
      <c r="W265" s="61"/>
      <c r="X265" s="61"/>
      <c r="Y265" s="61"/>
      <c r="Z265" s="61"/>
      <c r="AA265" s="61"/>
      <c r="AB265" s="61"/>
      <c r="AC265" s="61"/>
      <c r="AD265" s="61"/>
      <c r="AE265" s="61"/>
      <c r="AF265" s="61"/>
      <c r="AG265" s="61"/>
      <c r="AH265" s="61"/>
      <c r="AI265" s="61"/>
      <c r="AJ265" s="61"/>
      <c r="AK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2"/>
      <c r="W266" s="61"/>
      <c r="X266" s="61"/>
      <c r="Y266" s="61"/>
      <c r="Z266" s="61"/>
      <c r="AA266" s="61"/>
      <c r="AB266" s="61"/>
      <c r="AC266" s="61"/>
      <c r="AD266" s="61"/>
      <c r="AE266" s="61"/>
      <c r="AF266" s="61"/>
      <c r="AG266" s="61"/>
      <c r="AH266" s="61"/>
      <c r="AI266" s="61"/>
      <c r="AJ266" s="61"/>
      <c r="AK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2"/>
      <c r="W267" s="61"/>
      <c r="X267" s="61"/>
      <c r="Y267" s="61"/>
      <c r="Z267" s="61"/>
      <c r="AA267" s="61"/>
      <c r="AB267" s="61"/>
      <c r="AC267" s="61"/>
      <c r="AD267" s="61"/>
      <c r="AE267" s="61"/>
      <c r="AF267" s="61"/>
      <c r="AG267" s="61"/>
      <c r="AH267" s="61"/>
      <c r="AI267" s="61"/>
      <c r="AJ267" s="61"/>
      <c r="AK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2"/>
      <c r="W268" s="61"/>
      <c r="X268" s="61"/>
      <c r="Y268" s="61"/>
      <c r="Z268" s="61"/>
      <c r="AA268" s="61"/>
      <c r="AB268" s="61"/>
      <c r="AC268" s="61"/>
      <c r="AD268" s="61"/>
      <c r="AE268" s="61"/>
      <c r="AF268" s="61"/>
      <c r="AG268" s="61"/>
      <c r="AH268" s="61"/>
      <c r="AI268" s="61"/>
      <c r="AJ268" s="61"/>
      <c r="AK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2"/>
      <c r="W269" s="61"/>
      <c r="X269" s="61"/>
      <c r="Y269" s="61"/>
      <c r="Z269" s="61"/>
      <c r="AA269" s="61"/>
      <c r="AB269" s="61"/>
      <c r="AC269" s="61"/>
      <c r="AD269" s="61"/>
      <c r="AE269" s="61"/>
      <c r="AF269" s="61"/>
      <c r="AG269" s="61"/>
      <c r="AH269" s="61"/>
      <c r="AI269" s="61"/>
      <c r="AJ269" s="61"/>
      <c r="AK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2"/>
      <c r="W270" s="61"/>
      <c r="X270" s="61"/>
      <c r="Y270" s="61"/>
      <c r="Z270" s="61"/>
      <c r="AA270" s="61"/>
      <c r="AB270" s="61"/>
      <c r="AC270" s="61"/>
      <c r="AD270" s="61"/>
      <c r="AE270" s="61"/>
      <c r="AF270" s="61"/>
      <c r="AG270" s="61"/>
      <c r="AH270" s="61"/>
      <c r="AI270" s="61"/>
      <c r="AJ270" s="61"/>
      <c r="AK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2"/>
      <c r="W271" s="61"/>
      <c r="X271" s="61"/>
      <c r="Y271" s="61"/>
      <c r="Z271" s="61"/>
      <c r="AA271" s="61"/>
      <c r="AB271" s="61"/>
      <c r="AC271" s="61"/>
      <c r="AD271" s="61"/>
      <c r="AE271" s="61"/>
      <c r="AF271" s="61"/>
      <c r="AG271" s="61"/>
      <c r="AH271" s="61"/>
      <c r="AI271" s="61"/>
      <c r="AJ271" s="61"/>
      <c r="AK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2"/>
      <c r="W272" s="61"/>
      <c r="X272" s="61"/>
      <c r="Y272" s="61"/>
      <c r="Z272" s="61"/>
      <c r="AA272" s="61"/>
      <c r="AB272" s="61"/>
      <c r="AC272" s="61"/>
      <c r="AD272" s="61"/>
      <c r="AE272" s="61"/>
      <c r="AF272" s="61"/>
      <c r="AG272" s="61"/>
      <c r="AH272" s="61"/>
      <c r="AI272" s="61"/>
      <c r="AJ272" s="61"/>
      <c r="AK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2"/>
      <c r="W273" s="61"/>
      <c r="X273" s="61"/>
      <c r="Y273" s="61"/>
      <c r="Z273" s="61"/>
      <c r="AA273" s="61"/>
      <c r="AB273" s="61"/>
      <c r="AC273" s="61"/>
      <c r="AD273" s="61"/>
      <c r="AE273" s="61"/>
      <c r="AF273" s="61"/>
      <c r="AG273" s="61"/>
      <c r="AH273" s="61"/>
      <c r="AI273" s="61"/>
      <c r="AJ273" s="61"/>
      <c r="AK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2"/>
      <c r="W274" s="61"/>
      <c r="X274" s="61"/>
      <c r="Y274" s="61"/>
      <c r="Z274" s="61"/>
      <c r="AA274" s="61"/>
      <c r="AB274" s="61"/>
      <c r="AC274" s="61"/>
      <c r="AD274" s="61"/>
      <c r="AE274" s="61"/>
      <c r="AF274" s="61"/>
      <c r="AG274" s="61"/>
      <c r="AH274" s="61"/>
      <c r="AI274" s="61"/>
      <c r="AJ274" s="61"/>
      <c r="AK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2"/>
      <c r="W275" s="61"/>
      <c r="X275" s="61"/>
      <c r="Y275" s="61"/>
      <c r="Z275" s="61"/>
      <c r="AA275" s="61"/>
      <c r="AB275" s="61"/>
      <c r="AC275" s="61"/>
      <c r="AD275" s="61"/>
      <c r="AE275" s="61"/>
      <c r="AF275" s="61"/>
      <c r="AG275" s="61"/>
      <c r="AH275" s="61"/>
      <c r="AI275" s="61"/>
      <c r="AJ275" s="61"/>
      <c r="AK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2"/>
      <c r="W276" s="61"/>
      <c r="X276" s="61"/>
      <c r="Y276" s="61"/>
      <c r="Z276" s="61"/>
      <c r="AA276" s="61"/>
      <c r="AB276" s="61"/>
      <c r="AC276" s="61"/>
      <c r="AD276" s="61"/>
      <c r="AE276" s="61"/>
      <c r="AF276" s="61"/>
      <c r="AG276" s="61"/>
      <c r="AH276" s="61"/>
      <c r="AI276" s="61"/>
      <c r="AJ276" s="61"/>
      <c r="AK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2"/>
      <c r="W277" s="61"/>
      <c r="X277" s="61"/>
      <c r="Y277" s="61"/>
      <c r="Z277" s="61"/>
      <c r="AA277" s="61"/>
      <c r="AB277" s="61"/>
      <c r="AC277" s="61"/>
      <c r="AD277" s="61"/>
      <c r="AE277" s="61"/>
      <c r="AF277" s="61"/>
      <c r="AG277" s="61"/>
      <c r="AH277" s="61"/>
      <c r="AI277" s="61"/>
      <c r="AJ277" s="61"/>
      <c r="AK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2"/>
      <c r="W278" s="61"/>
      <c r="X278" s="61"/>
      <c r="Y278" s="61"/>
      <c r="Z278" s="61"/>
      <c r="AA278" s="61"/>
      <c r="AB278" s="61"/>
      <c r="AC278" s="61"/>
      <c r="AD278" s="61"/>
      <c r="AE278" s="61"/>
      <c r="AF278" s="61"/>
      <c r="AG278" s="61"/>
      <c r="AH278" s="61"/>
      <c r="AI278" s="61"/>
      <c r="AJ278" s="61"/>
      <c r="AK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2"/>
      <c r="W279" s="61"/>
      <c r="X279" s="61"/>
      <c r="Y279" s="61"/>
      <c r="Z279" s="61"/>
      <c r="AA279" s="61"/>
      <c r="AB279" s="61"/>
      <c r="AC279" s="61"/>
      <c r="AD279" s="61"/>
      <c r="AE279" s="61"/>
      <c r="AF279" s="61"/>
      <c r="AG279" s="61"/>
      <c r="AH279" s="61"/>
      <c r="AI279" s="61"/>
      <c r="AJ279" s="61"/>
      <c r="AK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2"/>
      <c r="W280" s="61"/>
      <c r="X280" s="61"/>
      <c r="Y280" s="61"/>
      <c r="Z280" s="61"/>
      <c r="AA280" s="61"/>
      <c r="AB280" s="61"/>
      <c r="AC280" s="61"/>
      <c r="AD280" s="61"/>
      <c r="AE280" s="61"/>
      <c r="AF280" s="61"/>
      <c r="AG280" s="61"/>
      <c r="AH280" s="61"/>
      <c r="AI280" s="61"/>
      <c r="AJ280" s="61"/>
      <c r="AK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2"/>
      <c r="W281" s="61"/>
      <c r="X281" s="61"/>
      <c r="Y281" s="61"/>
      <c r="Z281" s="61"/>
      <c r="AA281" s="61"/>
      <c r="AB281" s="61"/>
      <c r="AC281" s="61"/>
      <c r="AD281" s="61"/>
      <c r="AE281" s="61"/>
      <c r="AF281" s="61"/>
      <c r="AG281" s="61"/>
      <c r="AH281" s="61"/>
      <c r="AI281" s="61"/>
      <c r="AJ281" s="61"/>
      <c r="AK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2"/>
      <c r="W282" s="61"/>
      <c r="X282" s="61"/>
      <c r="Y282" s="61"/>
      <c r="Z282" s="61"/>
      <c r="AA282" s="61"/>
      <c r="AB282" s="61"/>
      <c r="AC282" s="61"/>
      <c r="AD282" s="61"/>
      <c r="AE282" s="61"/>
      <c r="AF282" s="61"/>
      <c r="AG282" s="61"/>
      <c r="AH282" s="61"/>
      <c r="AI282" s="61"/>
      <c r="AJ282" s="61"/>
      <c r="AK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2"/>
      <c r="W283" s="61"/>
      <c r="X283" s="61"/>
      <c r="Y283" s="61"/>
      <c r="Z283" s="61"/>
      <c r="AA283" s="61"/>
      <c r="AB283" s="61"/>
      <c r="AC283" s="61"/>
      <c r="AD283" s="61"/>
      <c r="AE283" s="61"/>
      <c r="AF283" s="61"/>
      <c r="AG283" s="61"/>
      <c r="AH283" s="61"/>
      <c r="AI283" s="61"/>
      <c r="AJ283" s="61"/>
      <c r="AK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2"/>
      <c r="W284" s="61"/>
      <c r="X284" s="61"/>
      <c r="Y284" s="61"/>
      <c r="Z284" s="61"/>
      <c r="AA284" s="61"/>
      <c r="AB284" s="61"/>
      <c r="AC284" s="61"/>
      <c r="AD284" s="61"/>
      <c r="AE284" s="61"/>
      <c r="AF284" s="61"/>
      <c r="AG284" s="61"/>
      <c r="AH284" s="61"/>
      <c r="AI284" s="61"/>
      <c r="AJ284" s="61"/>
      <c r="AK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2"/>
      <c r="W285" s="61"/>
      <c r="X285" s="61"/>
      <c r="Y285" s="61"/>
      <c r="Z285" s="61"/>
      <c r="AA285" s="61"/>
      <c r="AB285" s="61"/>
      <c r="AC285" s="61"/>
      <c r="AD285" s="61"/>
      <c r="AE285" s="61"/>
      <c r="AF285" s="61"/>
      <c r="AG285" s="61"/>
      <c r="AH285" s="61"/>
      <c r="AI285" s="61"/>
      <c r="AJ285" s="61"/>
      <c r="AK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2"/>
      <c r="W286" s="61"/>
      <c r="X286" s="61"/>
      <c r="Y286" s="61"/>
      <c r="Z286" s="61"/>
      <c r="AA286" s="61"/>
      <c r="AB286" s="61"/>
      <c r="AC286" s="61"/>
      <c r="AD286" s="61"/>
      <c r="AE286" s="61"/>
      <c r="AF286" s="61"/>
      <c r="AG286" s="61"/>
      <c r="AH286" s="61"/>
      <c r="AI286" s="61"/>
      <c r="AJ286" s="61"/>
      <c r="AK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2"/>
      <c r="W287" s="61"/>
      <c r="X287" s="61"/>
      <c r="Y287" s="61"/>
      <c r="Z287" s="61"/>
      <c r="AA287" s="61"/>
      <c r="AB287" s="61"/>
      <c r="AC287" s="61"/>
      <c r="AD287" s="61"/>
      <c r="AE287" s="61"/>
      <c r="AF287" s="61"/>
      <c r="AG287" s="61"/>
      <c r="AH287" s="61"/>
      <c r="AI287" s="61"/>
      <c r="AJ287" s="61"/>
      <c r="AK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2"/>
      <c r="W288" s="61"/>
      <c r="X288" s="61"/>
      <c r="Y288" s="61"/>
      <c r="Z288" s="61"/>
      <c r="AA288" s="61"/>
      <c r="AB288" s="61"/>
      <c r="AC288" s="61"/>
      <c r="AD288" s="61"/>
      <c r="AE288" s="61"/>
      <c r="AF288" s="61"/>
      <c r="AG288" s="61"/>
      <c r="AH288" s="61"/>
      <c r="AI288" s="61"/>
      <c r="AJ288" s="61"/>
      <c r="AK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2"/>
      <c r="W289" s="61"/>
      <c r="X289" s="61"/>
      <c r="Y289" s="61"/>
      <c r="Z289" s="61"/>
      <c r="AA289" s="61"/>
      <c r="AB289" s="61"/>
      <c r="AC289" s="61"/>
      <c r="AD289" s="61"/>
      <c r="AE289" s="61"/>
      <c r="AF289" s="61"/>
      <c r="AG289" s="61"/>
      <c r="AH289" s="61"/>
      <c r="AI289" s="61"/>
      <c r="AJ289" s="61"/>
      <c r="AK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2"/>
      <c r="W290" s="61"/>
      <c r="X290" s="61"/>
      <c r="Y290" s="61"/>
      <c r="Z290" s="61"/>
      <c r="AA290" s="61"/>
      <c r="AB290" s="61"/>
      <c r="AC290" s="61"/>
      <c r="AD290" s="61"/>
      <c r="AE290" s="61"/>
      <c r="AF290" s="61"/>
      <c r="AG290" s="61"/>
      <c r="AH290" s="61"/>
      <c r="AI290" s="61"/>
      <c r="AJ290" s="61"/>
      <c r="AK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2"/>
      <c r="W291" s="61"/>
      <c r="X291" s="61"/>
      <c r="Y291" s="61"/>
      <c r="Z291" s="61"/>
      <c r="AA291" s="61"/>
      <c r="AB291" s="61"/>
      <c r="AC291" s="61"/>
      <c r="AD291" s="61"/>
      <c r="AE291" s="61"/>
      <c r="AF291" s="61"/>
      <c r="AG291" s="61"/>
      <c r="AH291" s="61"/>
      <c r="AI291" s="61"/>
      <c r="AJ291" s="61"/>
      <c r="AK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2"/>
      <c r="W292" s="61"/>
      <c r="X292" s="61"/>
      <c r="Y292" s="61"/>
      <c r="Z292" s="61"/>
      <c r="AA292" s="61"/>
      <c r="AB292" s="61"/>
      <c r="AC292" s="61"/>
      <c r="AD292" s="61"/>
      <c r="AE292" s="61"/>
      <c r="AF292" s="61"/>
      <c r="AG292" s="61"/>
      <c r="AH292" s="61"/>
      <c r="AI292" s="61"/>
      <c r="AJ292" s="61"/>
      <c r="AK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2"/>
      <c r="W293" s="61"/>
      <c r="X293" s="61"/>
      <c r="Y293" s="61"/>
      <c r="Z293" s="61"/>
      <c r="AA293" s="61"/>
      <c r="AB293" s="61"/>
      <c r="AC293" s="61"/>
      <c r="AD293" s="61"/>
      <c r="AE293" s="61"/>
      <c r="AF293" s="61"/>
      <c r="AG293" s="61"/>
      <c r="AH293" s="61"/>
      <c r="AI293" s="61"/>
      <c r="AJ293" s="61"/>
      <c r="AK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2"/>
      <c r="W294" s="61"/>
      <c r="X294" s="61"/>
      <c r="Y294" s="61"/>
      <c r="Z294" s="61"/>
      <c r="AA294" s="61"/>
      <c r="AB294" s="61"/>
      <c r="AC294" s="61"/>
      <c r="AD294" s="61"/>
      <c r="AE294" s="61"/>
      <c r="AF294" s="61"/>
      <c r="AG294" s="61"/>
      <c r="AH294" s="61"/>
      <c r="AI294" s="61"/>
      <c r="AJ294" s="61"/>
      <c r="AK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2"/>
      <c r="W295" s="61"/>
      <c r="X295" s="61"/>
      <c r="Y295" s="61"/>
      <c r="Z295" s="61"/>
      <c r="AA295" s="61"/>
      <c r="AB295" s="61"/>
      <c r="AC295" s="61"/>
      <c r="AD295" s="61"/>
      <c r="AE295" s="61"/>
      <c r="AF295" s="61"/>
      <c r="AG295" s="61"/>
      <c r="AH295" s="61"/>
      <c r="AI295" s="61"/>
      <c r="AJ295" s="61"/>
      <c r="AK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2"/>
      <c r="W296" s="61"/>
      <c r="X296" s="61"/>
      <c r="Y296" s="61"/>
      <c r="Z296" s="61"/>
      <c r="AA296" s="61"/>
      <c r="AB296" s="61"/>
      <c r="AC296" s="61"/>
      <c r="AD296" s="61"/>
      <c r="AE296" s="61"/>
      <c r="AF296" s="61"/>
      <c r="AG296" s="61"/>
      <c r="AH296" s="61"/>
      <c r="AI296" s="61"/>
      <c r="AJ296" s="61"/>
      <c r="AK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2"/>
      <c r="W297" s="61"/>
      <c r="X297" s="61"/>
      <c r="Y297" s="61"/>
      <c r="Z297" s="61"/>
      <c r="AA297" s="61"/>
      <c r="AB297" s="61"/>
      <c r="AC297" s="61"/>
      <c r="AD297" s="61"/>
      <c r="AE297" s="61"/>
      <c r="AF297" s="61"/>
      <c r="AG297" s="61"/>
      <c r="AH297" s="61"/>
      <c r="AI297" s="61"/>
      <c r="AJ297" s="61"/>
      <c r="AK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2"/>
      <c r="W298" s="61"/>
      <c r="X298" s="61"/>
      <c r="Y298" s="61"/>
      <c r="Z298" s="61"/>
      <c r="AA298" s="61"/>
      <c r="AB298" s="61"/>
      <c r="AC298" s="61"/>
      <c r="AD298" s="61"/>
      <c r="AE298" s="61"/>
      <c r="AF298" s="61"/>
      <c r="AG298" s="61"/>
      <c r="AH298" s="61"/>
      <c r="AI298" s="61"/>
      <c r="AJ298" s="61"/>
      <c r="AK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2"/>
      <c r="W299" s="61"/>
      <c r="X299" s="61"/>
      <c r="Y299" s="61"/>
      <c r="Z299" s="61"/>
      <c r="AA299" s="61"/>
      <c r="AB299" s="61"/>
      <c r="AC299" s="61"/>
      <c r="AD299" s="61"/>
      <c r="AE299" s="61"/>
      <c r="AF299" s="61"/>
      <c r="AG299" s="61"/>
      <c r="AH299" s="61"/>
      <c r="AI299" s="61"/>
      <c r="AJ299" s="61"/>
      <c r="AK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2"/>
      <c r="W300" s="61"/>
      <c r="X300" s="61"/>
      <c r="Y300" s="61"/>
      <c r="Z300" s="61"/>
      <c r="AA300" s="61"/>
      <c r="AB300" s="61"/>
      <c r="AC300" s="61"/>
      <c r="AD300" s="61"/>
      <c r="AE300" s="61"/>
      <c r="AF300" s="61"/>
      <c r="AG300" s="61"/>
      <c r="AH300" s="61"/>
      <c r="AI300" s="61"/>
      <c r="AJ300" s="61"/>
      <c r="AK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2"/>
      <c r="W301" s="61"/>
      <c r="X301" s="61"/>
      <c r="Y301" s="61"/>
      <c r="Z301" s="61"/>
      <c r="AA301" s="61"/>
      <c r="AB301" s="61"/>
      <c r="AC301" s="61"/>
      <c r="AD301" s="61"/>
      <c r="AE301" s="61"/>
      <c r="AF301" s="61"/>
      <c r="AG301" s="61"/>
      <c r="AH301" s="61"/>
      <c r="AI301" s="61"/>
      <c r="AJ301" s="61"/>
      <c r="AK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2"/>
      <c r="W302" s="61"/>
      <c r="X302" s="61"/>
      <c r="Y302" s="61"/>
      <c r="Z302" s="61"/>
      <c r="AA302" s="61"/>
      <c r="AB302" s="61"/>
      <c r="AC302" s="61"/>
      <c r="AD302" s="61"/>
      <c r="AE302" s="61"/>
      <c r="AF302" s="61"/>
      <c r="AG302" s="61"/>
      <c r="AH302" s="61"/>
      <c r="AI302" s="61"/>
      <c r="AJ302" s="61"/>
      <c r="AK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2"/>
      <c r="W303" s="61"/>
      <c r="X303" s="61"/>
      <c r="Y303" s="61"/>
      <c r="Z303" s="61"/>
      <c r="AA303" s="61"/>
      <c r="AB303" s="61"/>
      <c r="AC303" s="61"/>
      <c r="AD303" s="61"/>
      <c r="AE303" s="61"/>
      <c r="AF303" s="61"/>
      <c r="AG303" s="61"/>
      <c r="AH303" s="61"/>
      <c r="AI303" s="61"/>
      <c r="AJ303" s="61"/>
      <c r="AK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2"/>
      <c r="W304" s="61"/>
      <c r="X304" s="61"/>
      <c r="Y304" s="61"/>
      <c r="Z304" s="61"/>
      <c r="AA304" s="61"/>
      <c r="AB304" s="61"/>
      <c r="AC304" s="61"/>
      <c r="AD304" s="61"/>
      <c r="AE304" s="61"/>
      <c r="AF304" s="61"/>
      <c r="AG304" s="61"/>
      <c r="AH304" s="61"/>
      <c r="AI304" s="61"/>
      <c r="AJ304" s="61"/>
      <c r="AK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2"/>
      <c r="W305" s="61"/>
      <c r="X305" s="61"/>
      <c r="Y305" s="61"/>
      <c r="Z305" s="61"/>
      <c r="AA305" s="61"/>
      <c r="AB305" s="61"/>
      <c r="AC305" s="61"/>
      <c r="AD305" s="61"/>
      <c r="AE305" s="61"/>
      <c r="AF305" s="61"/>
      <c r="AG305" s="61"/>
      <c r="AH305" s="61"/>
      <c r="AI305" s="61"/>
      <c r="AJ305" s="61"/>
      <c r="AK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2"/>
      <c r="W306" s="61"/>
      <c r="X306" s="61"/>
      <c r="Y306" s="61"/>
      <c r="Z306" s="61"/>
      <c r="AA306" s="61"/>
      <c r="AB306" s="61"/>
      <c r="AC306" s="61"/>
      <c r="AD306" s="61"/>
      <c r="AE306" s="61"/>
      <c r="AF306" s="61"/>
      <c r="AG306" s="61"/>
      <c r="AH306" s="61"/>
      <c r="AI306" s="61"/>
      <c r="AJ306" s="61"/>
      <c r="AK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2"/>
      <c r="W307" s="61"/>
      <c r="X307" s="61"/>
      <c r="Y307" s="61"/>
      <c r="Z307" s="61"/>
      <c r="AA307" s="61"/>
      <c r="AB307" s="61"/>
      <c r="AC307" s="61"/>
      <c r="AD307" s="61"/>
      <c r="AE307" s="61"/>
      <c r="AF307" s="61"/>
      <c r="AG307" s="61"/>
      <c r="AH307" s="61"/>
      <c r="AI307" s="61"/>
      <c r="AJ307" s="61"/>
      <c r="AK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2"/>
      <c r="W308" s="61"/>
      <c r="X308" s="61"/>
      <c r="Y308" s="61"/>
      <c r="Z308" s="61"/>
      <c r="AA308" s="61"/>
      <c r="AB308" s="61"/>
      <c r="AC308" s="61"/>
      <c r="AD308" s="61"/>
      <c r="AE308" s="61"/>
      <c r="AF308" s="61"/>
      <c r="AG308" s="61"/>
      <c r="AH308" s="61"/>
      <c r="AI308" s="61"/>
      <c r="AJ308" s="61"/>
      <c r="AK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2"/>
      <c r="W309" s="61"/>
      <c r="X309" s="61"/>
      <c r="Y309" s="61"/>
      <c r="Z309" s="61"/>
      <c r="AA309" s="61"/>
      <c r="AB309" s="61"/>
      <c r="AC309" s="61"/>
      <c r="AD309" s="61"/>
      <c r="AE309" s="61"/>
      <c r="AF309" s="61"/>
      <c r="AG309" s="61"/>
      <c r="AH309" s="61"/>
      <c r="AI309" s="61"/>
      <c r="AJ309" s="61"/>
      <c r="AK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2"/>
      <c r="W310" s="61"/>
      <c r="X310" s="61"/>
      <c r="Y310" s="61"/>
      <c r="Z310" s="61"/>
      <c r="AA310" s="61"/>
      <c r="AB310" s="61"/>
      <c r="AC310" s="61"/>
      <c r="AD310" s="61"/>
      <c r="AE310" s="61"/>
      <c r="AF310" s="61"/>
      <c r="AG310" s="61"/>
      <c r="AH310" s="61"/>
      <c r="AI310" s="61"/>
      <c r="AJ310" s="61"/>
      <c r="AK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2"/>
      <c r="W311" s="61"/>
      <c r="X311" s="61"/>
      <c r="Y311" s="61"/>
      <c r="Z311" s="61"/>
      <c r="AA311" s="61"/>
      <c r="AB311" s="61"/>
      <c r="AC311" s="61"/>
      <c r="AD311" s="61"/>
      <c r="AE311" s="61"/>
      <c r="AF311" s="61"/>
      <c r="AG311" s="61"/>
      <c r="AH311" s="61"/>
      <c r="AI311" s="61"/>
      <c r="AJ311" s="61"/>
      <c r="AK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2"/>
      <c r="W312" s="61"/>
      <c r="X312" s="61"/>
      <c r="Y312" s="61"/>
      <c r="Z312" s="61"/>
      <c r="AA312" s="61"/>
      <c r="AB312" s="61"/>
      <c r="AC312" s="61"/>
      <c r="AD312" s="61"/>
      <c r="AE312" s="61"/>
      <c r="AF312" s="61"/>
      <c r="AG312" s="61"/>
      <c r="AH312" s="61"/>
      <c r="AI312" s="61"/>
      <c r="AJ312" s="61"/>
      <c r="AK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2"/>
      <c r="W313" s="61"/>
      <c r="X313" s="61"/>
      <c r="Y313" s="61"/>
      <c r="Z313" s="61"/>
      <c r="AA313" s="61"/>
      <c r="AB313" s="61"/>
      <c r="AC313" s="61"/>
      <c r="AD313" s="61"/>
      <c r="AE313" s="61"/>
      <c r="AF313" s="61"/>
      <c r="AG313" s="61"/>
      <c r="AH313" s="61"/>
      <c r="AI313" s="61"/>
      <c r="AJ313" s="61"/>
      <c r="AK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2"/>
      <c r="W314" s="61"/>
      <c r="X314" s="61"/>
      <c r="Y314" s="61"/>
      <c r="Z314" s="61"/>
      <c r="AA314" s="61"/>
      <c r="AB314" s="61"/>
      <c r="AC314" s="61"/>
      <c r="AD314" s="61"/>
      <c r="AE314" s="61"/>
      <c r="AF314" s="61"/>
      <c r="AG314" s="61"/>
      <c r="AH314" s="61"/>
      <c r="AI314" s="61"/>
      <c r="AJ314" s="61"/>
      <c r="AK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2"/>
      <c r="W315" s="61"/>
      <c r="X315" s="61"/>
      <c r="Y315" s="61"/>
      <c r="Z315" s="61"/>
      <c r="AA315" s="61"/>
      <c r="AB315" s="61"/>
      <c r="AC315" s="61"/>
      <c r="AD315" s="61"/>
      <c r="AE315" s="61"/>
      <c r="AF315" s="61"/>
      <c r="AG315" s="61"/>
      <c r="AH315" s="61"/>
      <c r="AI315" s="61"/>
      <c r="AJ315" s="61"/>
      <c r="AK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2"/>
      <c r="W316" s="61"/>
      <c r="X316" s="61"/>
      <c r="Y316" s="61"/>
      <c r="Z316" s="61"/>
      <c r="AA316" s="61"/>
      <c r="AB316" s="61"/>
      <c r="AC316" s="61"/>
      <c r="AD316" s="61"/>
      <c r="AE316" s="61"/>
      <c r="AF316" s="61"/>
      <c r="AG316" s="61"/>
      <c r="AH316" s="61"/>
      <c r="AI316" s="61"/>
      <c r="AJ316" s="61"/>
      <c r="AK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2"/>
      <c r="W317" s="61"/>
      <c r="X317" s="61"/>
      <c r="Y317" s="61"/>
      <c r="Z317" s="61"/>
      <c r="AA317" s="61"/>
      <c r="AB317" s="61"/>
      <c r="AC317" s="61"/>
      <c r="AD317" s="61"/>
      <c r="AE317" s="61"/>
      <c r="AF317" s="61"/>
      <c r="AG317" s="61"/>
      <c r="AH317" s="61"/>
      <c r="AI317" s="61"/>
      <c r="AJ317" s="61"/>
      <c r="AK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2"/>
      <c r="W318" s="61"/>
      <c r="X318" s="61"/>
      <c r="Y318" s="61"/>
      <c r="Z318" s="61"/>
      <c r="AA318" s="61"/>
      <c r="AB318" s="61"/>
      <c r="AC318" s="61"/>
      <c r="AD318" s="61"/>
      <c r="AE318" s="61"/>
      <c r="AF318" s="61"/>
      <c r="AG318" s="61"/>
      <c r="AH318" s="61"/>
      <c r="AI318" s="61"/>
      <c r="AJ318" s="61"/>
      <c r="AK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2"/>
      <c r="W319" s="61"/>
      <c r="X319" s="61"/>
      <c r="Y319" s="61"/>
      <c r="Z319" s="61"/>
      <c r="AA319" s="61"/>
      <c r="AB319" s="61"/>
      <c r="AC319" s="61"/>
      <c r="AD319" s="61"/>
      <c r="AE319" s="61"/>
      <c r="AF319" s="61"/>
      <c r="AG319" s="61"/>
      <c r="AH319" s="61"/>
      <c r="AI319" s="61"/>
      <c r="AJ319" s="61"/>
      <c r="AK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2"/>
      <c r="W320" s="61"/>
      <c r="X320" s="61"/>
      <c r="Y320" s="61"/>
      <c r="Z320" s="61"/>
      <c r="AA320" s="61"/>
      <c r="AB320" s="61"/>
      <c r="AC320" s="61"/>
      <c r="AD320" s="61"/>
      <c r="AE320" s="61"/>
      <c r="AF320" s="61"/>
      <c r="AG320" s="61"/>
      <c r="AH320" s="61"/>
      <c r="AI320" s="61"/>
      <c r="AJ320" s="61"/>
      <c r="AK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2"/>
      <c r="W321" s="61"/>
      <c r="X321" s="61"/>
      <c r="Y321" s="61"/>
      <c r="Z321" s="61"/>
      <c r="AA321" s="61"/>
      <c r="AB321" s="61"/>
      <c r="AC321" s="61"/>
      <c r="AD321" s="61"/>
      <c r="AE321" s="61"/>
      <c r="AF321" s="61"/>
      <c r="AG321" s="61"/>
      <c r="AH321" s="61"/>
      <c r="AI321" s="61"/>
      <c r="AJ321" s="61"/>
      <c r="AK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2"/>
      <c r="W322" s="61"/>
      <c r="X322" s="61"/>
      <c r="Y322" s="61"/>
      <c r="Z322" s="61"/>
      <c r="AA322" s="61"/>
      <c r="AB322" s="61"/>
      <c r="AC322" s="61"/>
      <c r="AD322" s="61"/>
      <c r="AE322" s="61"/>
      <c r="AF322" s="61"/>
      <c r="AG322" s="61"/>
      <c r="AH322" s="61"/>
      <c r="AI322" s="61"/>
      <c r="AJ322" s="61"/>
      <c r="AK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2"/>
      <c r="W323" s="61"/>
      <c r="X323" s="61"/>
      <c r="Y323" s="61"/>
      <c r="Z323" s="61"/>
      <c r="AA323" s="61"/>
      <c r="AB323" s="61"/>
      <c r="AC323" s="61"/>
      <c r="AD323" s="61"/>
      <c r="AE323" s="61"/>
      <c r="AF323" s="61"/>
      <c r="AG323" s="61"/>
      <c r="AH323" s="61"/>
      <c r="AI323" s="61"/>
      <c r="AJ323" s="61"/>
      <c r="AK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2"/>
      <c r="W324" s="61"/>
      <c r="X324" s="61"/>
      <c r="Y324" s="61"/>
      <c r="Z324" s="61"/>
      <c r="AA324" s="61"/>
      <c r="AB324" s="61"/>
      <c r="AC324" s="61"/>
      <c r="AD324" s="61"/>
      <c r="AE324" s="61"/>
      <c r="AF324" s="61"/>
      <c r="AG324" s="61"/>
      <c r="AH324" s="61"/>
      <c r="AI324" s="61"/>
      <c r="AJ324" s="61"/>
      <c r="AK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2"/>
      <c r="W325" s="61"/>
      <c r="X325" s="61"/>
      <c r="Y325" s="61"/>
      <c r="Z325" s="61"/>
      <c r="AA325" s="61"/>
      <c r="AB325" s="61"/>
      <c r="AC325" s="61"/>
      <c r="AD325" s="61"/>
      <c r="AE325" s="61"/>
      <c r="AF325" s="61"/>
      <c r="AG325" s="61"/>
      <c r="AH325" s="61"/>
      <c r="AI325" s="61"/>
      <c r="AJ325" s="61"/>
      <c r="AK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2"/>
      <c r="W326" s="61"/>
      <c r="X326" s="61"/>
      <c r="Y326" s="61"/>
      <c r="Z326" s="61"/>
      <c r="AA326" s="61"/>
      <c r="AB326" s="61"/>
      <c r="AC326" s="61"/>
      <c r="AD326" s="61"/>
      <c r="AE326" s="61"/>
      <c r="AF326" s="61"/>
      <c r="AG326" s="61"/>
      <c r="AH326" s="61"/>
      <c r="AI326" s="61"/>
      <c r="AJ326" s="61"/>
      <c r="AK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2"/>
      <c r="W327" s="61"/>
      <c r="X327" s="61"/>
      <c r="Y327" s="61"/>
      <c r="Z327" s="61"/>
      <c r="AA327" s="61"/>
      <c r="AB327" s="61"/>
      <c r="AC327" s="61"/>
      <c r="AD327" s="61"/>
      <c r="AE327" s="61"/>
      <c r="AF327" s="61"/>
      <c r="AG327" s="61"/>
      <c r="AH327" s="61"/>
      <c r="AI327" s="61"/>
      <c r="AJ327" s="61"/>
      <c r="AK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2"/>
      <c r="W328" s="61"/>
      <c r="X328" s="61"/>
      <c r="Y328" s="61"/>
      <c r="Z328" s="61"/>
      <c r="AA328" s="61"/>
      <c r="AB328" s="61"/>
      <c r="AC328" s="61"/>
      <c r="AD328" s="61"/>
      <c r="AE328" s="61"/>
      <c r="AF328" s="61"/>
      <c r="AG328" s="61"/>
      <c r="AH328" s="61"/>
      <c r="AI328" s="61"/>
      <c r="AJ328" s="61"/>
      <c r="AK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2"/>
      <c r="W329" s="61"/>
      <c r="X329" s="61"/>
      <c r="Y329" s="61"/>
      <c r="Z329" s="61"/>
      <c r="AA329" s="61"/>
      <c r="AB329" s="61"/>
      <c r="AC329" s="61"/>
      <c r="AD329" s="61"/>
      <c r="AE329" s="61"/>
      <c r="AF329" s="61"/>
      <c r="AG329" s="61"/>
      <c r="AH329" s="61"/>
      <c r="AI329" s="61"/>
      <c r="AJ329" s="61"/>
      <c r="AK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2"/>
      <c r="W330" s="61"/>
      <c r="X330" s="61"/>
      <c r="Y330" s="61"/>
      <c r="Z330" s="61"/>
      <c r="AA330" s="61"/>
      <c r="AB330" s="61"/>
      <c r="AC330" s="61"/>
      <c r="AD330" s="61"/>
      <c r="AE330" s="61"/>
      <c r="AF330" s="61"/>
      <c r="AG330" s="61"/>
      <c r="AH330" s="61"/>
      <c r="AI330" s="61"/>
      <c r="AJ330" s="61"/>
      <c r="AK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2"/>
      <c r="W331" s="61"/>
      <c r="X331" s="61"/>
      <c r="Y331" s="61"/>
      <c r="Z331" s="61"/>
      <c r="AA331" s="61"/>
      <c r="AB331" s="61"/>
      <c r="AC331" s="61"/>
      <c r="AD331" s="61"/>
      <c r="AE331" s="61"/>
      <c r="AF331" s="61"/>
      <c r="AG331" s="61"/>
      <c r="AH331" s="61"/>
      <c r="AI331" s="61"/>
      <c r="AJ331" s="61"/>
      <c r="AK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2"/>
      <c r="W332" s="61"/>
      <c r="X332" s="61"/>
      <c r="Y332" s="61"/>
      <c r="Z332" s="61"/>
      <c r="AA332" s="61"/>
      <c r="AB332" s="61"/>
      <c r="AC332" s="61"/>
      <c r="AD332" s="61"/>
      <c r="AE332" s="61"/>
      <c r="AF332" s="61"/>
      <c r="AG332" s="61"/>
      <c r="AH332" s="61"/>
      <c r="AI332" s="61"/>
      <c r="AJ332" s="61"/>
      <c r="AK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2"/>
      <c r="W333" s="61"/>
      <c r="X333" s="61"/>
      <c r="Y333" s="61"/>
      <c r="Z333" s="61"/>
      <c r="AA333" s="61"/>
      <c r="AB333" s="61"/>
      <c r="AC333" s="61"/>
      <c r="AD333" s="61"/>
      <c r="AE333" s="61"/>
      <c r="AF333" s="61"/>
      <c r="AG333" s="61"/>
      <c r="AH333" s="61"/>
      <c r="AI333" s="61"/>
      <c r="AJ333" s="61"/>
      <c r="AK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2"/>
      <c r="W334" s="61"/>
      <c r="X334" s="61"/>
      <c r="Y334" s="61"/>
      <c r="Z334" s="61"/>
      <c r="AA334" s="61"/>
      <c r="AB334" s="61"/>
      <c r="AC334" s="61"/>
      <c r="AD334" s="61"/>
      <c r="AE334" s="61"/>
      <c r="AF334" s="61"/>
      <c r="AG334" s="61"/>
      <c r="AH334" s="61"/>
      <c r="AI334" s="61"/>
      <c r="AJ334" s="61"/>
      <c r="AK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2"/>
      <c r="W335" s="61"/>
      <c r="X335" s="61"/>
      <c r="Y335" s="61"/>
      <c r="Z335" s="61"/>
      <c r="AA335" s="61"/>
      <c r="AB335" s="61"/>
      <c r="AC335" s="61"/>
      <c r="AD335" s="61"/>
      <c r="AE335" s="61"/>
      <c r="AF335" s="61"/>
      <c r="AG335" s="61"/>
      <c r="AH335" s="61"/>
      <c r="AI335" s="61"/>
      <c r="AJ335" s="61"/>
      <c r="AK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2"/>
      <c r="W336" s="61"/>
      <c r="X336" s="61"/>
      <c r="Y336" s="61"/>
      <c r="Z336" s="61"/>
      <c r="AA336" s="61"/>
      <c r="AB336" s="61"/>
      <c r="AC336" s="61"/>
      <c r="AD336" s="61"/>
      <c r="AE336" s="61"/>
      <c r="AF336" s="61"/>
      <c r="AG336" s="61"/>
      <c r="AH336" s="61"/>
      <c r="AI336" s="61"/>
      <c r="AJ336" s="61"/>
      <c r="AK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2"/>
      <c r="W337" s="61"/>
      <c r="X337" s="61"/>
      <c r="Y337" s="61"/>
      <c r="Z337" s="61"/>
      <c r="AA337" s="61"/>
      <c r="AB337" s="61"/>
      <c r="AC337" s="61"/>
      <c r="AD337" s="61"/>
      <c r="AE337" s="61"/>
      <c r="AF337" s="61"/>
      <c r="AG337" s="61"/>
      <c r="AH337" s="61"/>
      <c r="AI337" s="61"/>
      <c r="AJ337" s="61"/>
      <c r="AK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2"/>
      <c r="W338" s="61"/>
      <c r="X338" s="61"/>
      <c r="Y338" s="61"/>
      <c r="Z338" s="61"/>
      <c r="AA338" s="61"/>
      <c r="AB338" s="61"/>
      <c r="AC338" s="61"/>
      <c r="AD338" s="61"/>
      <c r="AE338" s="61"/>
      <c r="AF338" s="61"/>
      <c r="AG338" s="61"/>
      <c r="AH338" s="61"/>
      <c r="AI338" s="61"/>
      <c r="AJ338" s="61"/>
      <c r="AK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2"/>
      <c r="W339" s="61"/>
      <c r="X339" s="61"/>
      <c r="Y339" s="61"/>
      <c r="Z339" s="61"/>
      <c r="AA339" s="61"/>
      <c r="AB339" s="61"/>
      <c r="AC339" s="61"/>
      <c r="AD339" s="61"/>
      <c r="AE339" s="61"/>
      <c r="AF339" s="61"/>
      <c r="AG339" s="61"/>
      <c r="AH339" s="61"/>
      <c r="AI339" s="61"/>
      <c r="AJ339" s="61"/>
      <c r="AK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2"/>
      <c r="W340" s="61"/>
      <c r="X340" s="61"/>
      <c r="Y340" s="61"/>
      <c r="Z340" s="61"/>
      <c r="AA340" s="61"/>
      <c r="AB340" s="61"/>
      <c r="AC340" s="61"/>
      <c r="AD340" s="61"/>
      <c r="AE340" s="61"/>
      <c r="AF340" s="61"/>
      <c r="AG340" s="61"/>
      <c r="AH340" s="61"/>
      <c r="AI340" s="61"/>
      <c r="AJ340" s="61"/>
      <c r="AK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2"/>
      <c r="W341" s="61"/>
      <c r="X341" s="61"/>
      <c r="Y341" s="61"/>
      <c r="Z341" s="61"/>
      <c r="AA341" s="61"/>
      <c r="AB341" s="61"/>
      <c r="AC341" s="61"/>
      <c r="AD341" s="61"/>
      <c r="AE341" s="61"/>
      <c r="AF341" s="61"/>
      <c r="AG341" s="61"/>
      <c r="AH341" s="61"/>
      <c r="AI341" s="61"/>
      <c r="AJ341" s="61"/>
      <c r="AK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2"/>
      <c r="W342" s="61"/>
      <c r="X342" s="61"/>
      <c r="Y342" s="61"/>
      <c r="Z342" s="61"/>
      <c r="AA342" s="61"/>
      <c r="AB342" s="61"/>
      <c r="AC342" s="61"/>
      <c r="AD342" s="61"/>
      <c r="AE342" s="61"/>
      <c r="AF342" s="61"/>
      <c r="AG342" s="61"/>
      <c r="AH342" s="61"/>
      <c r="AI342" s="61"/>
      <c r="AJ342" s="61"/>
      <c r="AK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2"/>
      <c r="W343" s="61"/>
      <c r="X343" s="61"/>
      <c r="Y343" s="61"/>
      <c r="Z343" s="61"/>
      <c r="AA343" s="61"/>
      <c r="AB343" s="61"/>
      <c r="AC343" s="61"/>
      <c r="AD343" s="61"/>
      <c r="AE343" s="61"/>
      <c r="AF343" s="61"/>
      <c r="AG343" s="61"/>
      <c r="AH343" s="61"/>
      <c r="AI343" s="61"/>
      <c r="AJ343" s="61"/>
      <c r="AK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2"/>
      <c r="W344" s="61"/>
      <c r="X344" s="61"/>
      <c r="Y344" s="61"/>
      <c r="Z344" s="61"/>
      <c r="AA344" s="61"/>
      <c r="AB344" s="61"/>
      <c r="AC344" s="61"/>
      <c r="AD344" s="61"/>
      <c r="AE344" s="61"/>
      <c r="AF344" s="61"/>
      <c r="AG344" s="61"/>
      <c r="AH344" s="61"/>
      <c r="AI344" s="61"/>
      <c r="AJ344" s="61"/>
      <c r="AK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2"/>
      <c r="W345" s="61"/>
      <c r="X345" s="61"/>
      <c r="Y345" s="61"/>
      <c r="Z345" s="61"/>
      <c r="AA345" s="61"/>
      <c r="AB345" s="61"/>
      <c r="AC345" s="61"/>
      <c r="AD345" s="61"/>
      <c r="AE345" s="61"/>
      <c r="AF345" s="61"/>
      <c r="AG345" s="61"/>
      <c r="AH345" s="61"/>
      <c r="AI345" s="61"/>
      <c r="AJ345" s="61"/>
      <c r="AK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2"/>
      <c r="W346" s="61"/>
      <c r="X346" s="61"/>
      <c r="Y346" s="61"/>
      <c r="Z346" s="61"/>
      <c r="AA346" s="61"/>
      <c r="AB346" s="61"/>
      <c r="AC346" s="61"/>
      <c r="AD346" s="61"/>
      <c r="AE346" s="61"/>
      <c r="AF346" s="61"/>
      <c r="AG346" s="61"/>
      <c r="AH346" s="61"/>
      <c r="AI346" s="61"/>
      <c r="AJ346" s="61"/>
      <c r="AK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2"/>
      <c r="W347" s="61"/>
      <c r="X347" s="61"/>
      <c r="Y347" s="61"/>
      <c r="Z347" s="61"/>
      <c r="AA347" s="61"/>
      <c r="AB347" s="61"/>
      <c r="AC347" s="61"/>
      <c r="AD347" s="61"/>
      <c r="AE347" s="61"/>
      <c r="AF347" s="61"/>
      <c r="AG347" s="61"/>
      <c r="AH347" s="61"/>
      <c r="AI347" s="61"/>
      <c r="AJ347" s="61"/>
      <c r="AK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2"/>
      <c r="W348" s="61"/>
      <c r="X348" s="61"/>
      <c r="Y348" s="61"/>
      <c r="Z348" s="61"/>
      <c r="AA348" s="61"/>
      <c r="AB348" s="61"/>
      <c r="AC348" s="61"/>
      <c r="AD348" s="61"/>
      <c r="AE348" s="61"/>
      <c r="AF348" s="61"/>
      <c r="AG348" s="61"/>
      <c r="AH348" s="61"/>
      <c r="AI348" s="61"/>
      <c r="AJ348" s="61"/>
      <c r="AK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2"/>
      <c r="W349" s="61"/>
      <c r="X349" s="61"/>
      <c r="Y349" s="61"/>
      <c r="Z349" s="61"/>
      <c r="AA349" s="61"/>
      <c r="AB349" s="61"/>
      <c r="AC349" s="61"/>
      <c r="AD349" s="61"/>
      <c r="AE349" s="61"/>
      <c r="AF349" s="61"/>
      <c r="AG349" s="61"/>
      <c r="AH349" s="61"/>
      <c r="AI349" s="61"/>
      <c r="AJ349" s="61"/>
      <c r="AK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2"/>
      <c r="W350" s="61"/>
      <c r="X350" s="61"/>
      <c r="Y350" s="61"/>
      <c r="Z350" s="61"/>
      <c r="AA350" s="61"/>
      <c r="AB350" s="61"/>
      <c r="AC350" s="61"/>
      <c r="AD350" s="61"/>
      <c r="AE350" s="61"/>
      <c r="AF350" s="61"/>
      <c r="AG350" s="61"/>
      <c r="AH350" s="61"/>
      <c r="AI350" s="61"/>
      <c r="AJ350" s="61"/>
      <c r="AK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2"/>
      <c r="W351" s="61"/>
      <c r="X351" s="61"/>
      <c r="Y351" s="61"/>
      <c r="Z351" s="61"/>
      <c r="AA351" s="61"/>
      <c r="AB351" s="61"/>
      <c r="AC351" s="61"/>
      <c r="AD351" s="61"/>
      <c r="AE351" s="61"/>
      <c r="AF351" s="61"/>
      <c r="AG351" s="61"/>
      <c r="AH351" s="61"/>
      <c r="AI351" s="61"/>
      <c r="AJ351" s="61"/>
      <c r="AK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2"/>
      <c r="W352" s="61"/>
      <c r="X352" s="61"/>
      <c r="Y352" s="61"/>
      <c r="Z352" s="61"/>
      <c r="AA352" s="61"/>
      <c r="AB352" s="61"/>
      <c r="AC352" s="61"/>
      <c r="AD352" s="61"/>
      <c r="AE352" s="61"/>
      <c r="AF352" s="61"/>
      <c r="AG352" s="61"/>
      <c r="AH352" s="61"/>
      <c r="AI352" s="61"/>
      <c r="AJ352" s="61"/>
      <c r="AK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2"/>
      <c r="W353" s="61"/>
      <c r="X353" s="61"/>
      <c r="Y353" s="61"/>
      <c r="Z353" s="61"/>
      <c r="AA353" s="61"/>
      <c r="AB353" s="61"/>
      <c r="AC353" s="61"/>
      <c r="AD353" s="61"/>
      <c r="AE353" s="61"/>
      <c r="AF353" s="61"/>
      <c r="AG353" s="61"/>
      <c r="AH353" s="61"/>
      <c r="AI353" s="61"/>
      <c r="AJ353" s="61"/>
      <c r="AK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2"/>
      <c r="W354" s="61"/>
      <c r="X354" s="61"/>
      <c r="Y354" s="61"/>
      <c r="Z354" s="61"/>
      <c r="AA354" s="61"/>
      <c r="AB354" s="61"/>
      <c r="AC354" s="61"/>
      <c r="AD354" s="61"/>
      <c r="AE354" s="61"/>
      <c r="AF354" s="61"/>
      <c r="AG354" s="61"/>
      <c r="AH354" s="61"/>
      <c r="AI354" s="61"/>
      <c r="AJ354" s="61"/>
      <c r="AK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2"/>
      <c r="W355" s="61"/>
      <c r="X355" s="61"/>
      <c r="Y355" s="61"/>
      <c r="Z355" s="61"/>
      <c r="AA355" s="61"/>
      <c r="AB355" s="61"/>
      <c r="AC355" s="61"/>
      <c r="AD355" s="61"/>
      <c r="AE355" s="61"/>
      <c r="AF355" s="61"/>
      <c r="AG355" s="61"/>
      <c r="AH355" s="61"/>
      <c r="AI355" s="61"/>
      <c r="AJ355" s="61"/>
      <c r="AK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2"/>
      <c r="W356" s="61"/>
      <c r="X356" s="61"/>
      <c r="Y356" s="61"/>
      <c r="Z356" s="61"/>
      <c r="AA356" s="61"/>
      <c r="AB356" s="61"/>
      <c r="AC356" s="61"/>
      <c r="AD356" s="61"/>
      <c r="AE356" s="61"/>
      <c r="AF356" s="61"/>
      <c r="AG356" s="61"/>
      <c r="AH356" s="61"/>
      <c r="AI356" s="61"/>
      <c r="AJ356" s="61"/>
      <c r="AK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2"/>
      <c r="W357" s="61"/>
      <c r="X357" s="61"/>
      <c r="Y357" s="61"/>
      <c r="Z357" s="61"/>
      <c r="AA357" s="61"/>
      <c r="AB357" s="61"/>
      <c r="AC357" s="61"/>
      <c r="AD357" s="61"/>
      <c r="AE357" s="61"/>
      <c r="AF357" s="61"/>
      <c r="AG357" s="61"/>
      <c r="AH357" s="61"/>
      <c r="AI357" s="61"/>
      <c r="AJ357" s="61"/>
      <c r="AK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2"/>
      <c r="W358" s="61"/>
      <c r="X358" s="61"/>
      <c r="Y358" s="61"/>
      <c r="Z358" s="61"/>
      <c r="AA358" s="61"/>
      <c r="AB358" s="61"/>
      <c r="AC358" s="61"/>
      <c r="AD358" s="61"/>
      <c r="AE358" s="61"/>
      <c r="AF358" s="61"/>
      <c r="AG358" s="61"/>
      <c r="AH358" s="61"/>
      <c r="AI358" s="61"/>
      <c r="AJ358" s="61"/>
      <c r="AK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2"/>
      <c r="W359" s="61"/>
      <c r="X359" s="61"/>
      <c r="Y359" s="61"/>
      <c r="Z359" s="61"/>
      <c r="AA359" s="61"/>
      <c r="AB359" s="61"/>
      <c r="AC359" s="61"/>
      <c r="AD359" s="61"/>
      <c r="AE359" s="61"/>
      <c r="AF359" s="61"/>
      <c r="AG359" s="61"/>
      <c r="AH359" s="61"/>
      <c r="AI359" s="61"/>
      <c r="AJ359" s="61"/>
      <c r="AK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2"/>
      <c r="W360" s="61"/>
      <c r="X360" s="61"/>
      <c r="Y360" s="61"/>
      <c r="Z360" s="61"/>
      <c r="AA360" s="61"/>
      <c r="AB360" s="61"/>
      <c r="AC360" s="61"/>
      <c r="AD360" s="61"/>
      <c r="AE360" s="61"/>
      <c r="AF360" s="61"/>
      <c r="AG360" s="61"/>
      <c r="AH360" s="61"/>
      <c r="AI360" s="61"/>
      <c r="AJ360" s="61"/>
      <c r="AK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2"/>
      <c r="W361" s="61"/>
      <c r="X361" s="61"/>
      <c r="Y361" s="61"/>
      <c r="Z361" s="61"/>
      <c r="AA361" s="61"/>
      <c r="AB361" s="61"/>
      <c r="AC361" s="61"/>
      <c r="AD361" s="61"/>
      <c r="AE361" s="61"/>
      <c r="AF361" s="61"/>
      <c r="AG361" s="61"/>
      <c r="AH361" s="61"/>
      <c r="AI361" s="61"/>
      <c r="AJ361" s="61"/>
      <c r="AK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2"/>
      <c r="W362" s="61"/>
      <c r="X362" s="61"/>
      <c r="Y362" s="61"/>
      <c r="Z362" s="61"/>
      <c r="AA362" s="61"/>
      <c r="AB362" s="61"/>
      <c r="AC362" s="61"/>
      <c r="AD362" s="61"/>
      <c r="AE362" s="61"/>
      <c r="AF362" s="61"/>
      <c r="AG362" s="61"/>
      <c r="AH362" s="61"/>
      <c r="AI362" s="61"/>
      <c r="AJ362" s="61"/>
      <c r="AK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2"/>
      <c r="W363" s="61"/>
      <c r="X363" s="61"/>
      <c r="Y363" s="61"/>
      <c r="Z363" s="61"/>
      <c r="AA363" s="61"/>
      <c r="AB363" s="61"/>
      <c r="AC363" s="61"/>
      <c r="AD363" s="61"/>
      <c r="AE363" s="61"/>
      <c r="AF363" s="61"/>
      <c r="AG363" s="61"/>
      <c r="AH363" s="61"/>
      <c r="AI363" s="61"/>
      <c r="AJ363" s="61"/>
      <c r="AK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2"/>
      <c r="W364" s="61"/>
      <c r="X364" s="61"/>
      <c r="Y364" s="61"/>
      <c r="Z364" s="61"/>
      <c r="AA364" s="61"/>
      <c r="AB364" s="61"/>
      <c r="AC364" s="61"/>
      <c r="AD364" s="61"/>
      <c r="AE364" s="61"/>
      <c r="AF364" s="61"/>
      <c r="AG364" s="61"/>
      <c r="AH364" s="61"/>
      <c r="AI364" s="61"/>
      <c r="AJ364" s="61"/>
      <c r="AK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2"/>
      <c r="W365" s="61"/>
      <c r="X365" s="61"/>
      <c r="Y365" s="61"/>
      <c r="Z365" s="61"/>
      <c r="AA365" s="61"/>
      <c r="AB365" s="61"/>
      <c r="AC365" s="61"/>
      <c r="AD365" s="61"/>
      <c r="AE365" s="61"/>
      <c r="AF365" s="61"/>
      <c r="AG365" s="61"/>
      <c r="AH365" s="61"/>
      <c r="AI365" s="61"/>
      <c r="AJ365" s="61"/>
      <c r="AK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2"/>
      <c r="W366" s="61"/>
      <c r="X366" s="61"/>
      <c r="Y366" s="61"/>
      <c r="Z366" s="61"/>
      <c r="AA366" s="61"/>
      <c r="AB366" s="61"/>
      <c r="AC366" s="61"/>
      <c r="AD366" s="61"/>
      <c r="AE366" s="61"/>
      <c r="AF366" s="61"/>
      <c r="AG366" s="61"/>
      <c r="AH366" s="61"/>
      <c r="AI366" s="61"/>
      <c r="AJ366" s="61"/>
      <c r="AK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2"/>
      <c r="W367" s="61"/>
      <c r="X367" s="61"/>
      <c r="Y367" s="61"/>
      <c r="Z367" s="61"/>
      <c r="AA367" s="61"/>
      <c r="AB367" s="61"/>
      <c r="AC367" s="61"/>
      <c r="AD367" s="61"/>
      <c r="AE367" s="61"/>
      <c r="AF367" s="61"/>
      <c r="AG367" s="61"/>
      <c r="AH367" s="61"/>
      <c r="AI367" s="61"/>
      <c r="AJ367" s="61"/>
      <c r="AK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2"/>
      <c r="W368" s="61"/>
      <c r="X368" s="61"/>
      <c r="Y368" s="61"/>
      <c r="Z368" s="61"/>
      <c r="AA368" s="61"/>
      <c r="AB368" s="61"/>
      <c r="AC368" s="61"/>
      <c r="AD368" s="61"/>
      <c r="AE368" s="61"/>
      <c r="AF368" s="61"/>
      <c r="AG368" s="61"/>
      <c r="AH368" s="61"/>
      <c r="AI368" s="61"/>
      <c r="AJ368" s="61"/>
      <c r="AK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2"/>
      <c r="W369" s="61"/>
      <c r="X369" s="61"/>
      <c r="Y369" s="61"/>
      <c r="Z369" s="61"/>
      <c r="AA369" s="61"/>
      <c r="AB369" s="61"/>
      <c r="AC369" s="61"/>
      <c r="AD369" s="61"/>
      <c r="AE369" s="61"/>
      <c r="AF369" s="61"/>
      <c r="AG369" s="61"/>
      <c r="AH369" s="61"/>
      <c r="AI369" s="61"/>
      <c r="AJ369" s="61"/>
      <c r="AK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2"/>
      <c r="W370" s="61"/>
      <c r="X370" s="61"/>
      <c r="Y370" s="61"/>
      <c r="Z370" s="61"/>
      <c r="AA370" s="61"/>
      <c r="AB370" s="61"/>
      <c r="AC370" s="61"/>
      <c r="AD370" s="61"/>
      <c r="AE370" s="61"/>
      <c r="AF370" s="61"/>
      <c r="AG370" s="61"/>
      <c r="AH370" s="61"/>
      <c r="AI370" s="61"/>
      <c r="AJ370" s="61"/>
      <c r="AK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2"/>
      <c r="W371" s="61"/>
      <c r="X371" s="61"/>
      <c r="Y371" s="61"/>
      <c r="Z371" s="61"/>
      <c r="AA371" s="61"/>
      <c r="AB371" s="61"/>
      <c r="AC371" s="61"/>
      <c r="AD371" s="61"/>
      <c r="AE371" s="61"/>
      <c r="AF371" s="61"/>
      <c r="AG371" s="61"/>
      <c r="AH371" s="61"/>
      <c r="AI371" s="61"/>
      <c r="AJ371" s="61"/>
      <c r="AK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2"/>
      <c r="W372" s="61"/>
      <c r="X372" s="61"/>
      <c r="Y372" s="61"/>
      <c r="Z372" s="61"/>
      <c r="AA372" s="61"/>
      <c r="AB372" s="61"/>
      <c r="AC372" s="61"/>
      <c r="AD372" s="61"/>
      <c r="AE372" s="61"/>
      <c r="AF372" s="61"/>
      <c r="AG372" s="61"/>
      <c r="AH372" s="61"/>
      <c r="AI372" s="61"/>
      <c r="AJ372" s="61"/>
      <c r="AK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2"/>
      <c r="W373" s="61"/>
      <c r="X373" s="61"/>
      <c r="Y373" s="61"/>
      <c r="Z373" s="61"/>
      <c r="AA373" s="61"/>
      <c r="AB373" s="61"/>
      <c r="AC373" s="61"/>
      <c r="AD373" s="61"/>
      <c r="AE373" s="61"/>
      <c r="AF373" s="61"/>
      <c r="AG373" s="61"/>
      <c r="AH373" s="61"/>
      <c r="AI373" s="61"/>
      <c r="AJ373" s="61"/>
      <c r="AK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2"/>
      <c r="W374" s="61"/>
      <c r="X374" s="61"/>
      <c r="Y374" s="61"/>
      <c r="Z374" s="61"/>
      <c r="AA374" s="61"/>
      <c r="AB374" s="61"/>
      <c r="AC374" s="61"/>
      <c r="AD374" s="61"/>
      <c r="AE374" s="61"/>
      <c r="AF374" s="61"/>
      <c r="AG374" s="61"/>
      <c r="AH374" s="61"/>
      <c r="AI374" s="61"/>
      <c r="AJ374" s="61"/>
      <c r="AK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2"/>
      <c r="W375" s="61"/>
      <c r="X375" s="61"/>
      <c r="Y375" s="61"/>
      <c r="Z375" s="61"/>
      <c r="AA375" s="61"/>
      <c r="AB375" s="61"/>
      <c r="AC375" s="61"/>
      <c r="AD375" s="61"/>
      <c r="AE375" s="61"/>
      <c r="AF375" s="61"/>
      <c r="AG375" s="61"/>
      <c r="AH375" s="61"/>
      <c r="AI375" s="61"/>
      <c r="AJ375" s="61"/>
      <c r="AK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2"/>
      <c r="W376" s="61"/>
      <c r="X376" s="61"/>
      <c r="Y376" s="61"/>
      <c r="Z376" s="61"/>
      <c r="AA376" s="61"/>
      <c r="AB376" s="61"/>
      <c r="AC376" s="61"/>
      <c r="AD376" s="61"/>
      <c r="AE376" s="61"/>
      <c r="AF376" s="61"/>
      <c r="AG376" s="61"/>
      <c r="AH376" s="61"/>
      <c r="AI376" s="61"/>
      <c r="AJ376" s="61"/>
      <c r="AK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2"/>
      <c r="W377" s="61"/>
      <c r="X377" s="61"/>
      <c r="Y377" s="61"/>
      <c r="Z377" s="61"/>
      <c r="AA377" s="61"/>
      <c r="AB377" s="61"/>
      <c r="AC377" s="61"/>
      <c r="AD377" s="61"/>
      <c r="AE377" s="61"/>
      <c r="AF377" s="61"/>
      <c r="AG377" s="61"/>
      <c r="AH377" s="61"/>
      <c r="AI377" s="61"/>
      <c r="AJ377" s="61"/>
      <c r="AK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2"/>
      <c r="W378" s="61"/>
      <c r="X378" s="61"/>
      <c r="Y378" s="61"/>
      <c r="Z378" s="61"/>
      <c r="AA378" s="61"/>
      <c r="AB378" s="61"/>
      <c r="AC378" s="61"/>
      <c r="AD378" s="61"/>
      <c r="AE378" s="61"/>
      <c r="AF378" s="61"/>
      <c r="AG378" s="61"/>
      <c r="AH378" s="61"/>
      <c r="AI378" s="61"/>
      <c r="AJ378" s="61"/>
      <c r="AK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2"/>
      <c r="W379" s="61"/>
      <c r="X379" s="61"/>
      <c r="Y379" s="61"/>
      <c r="Z379" s="61"/>
      <c r="AA379" s="61"/>
      <c r="AB379" s="61"/>
      <c r="AC379" s="61"/>
      <c r="AD379" s="61"/>
      <c r="AE379" s="61"/>
      <c r="AF379" s="61"/>
      <c r="AG379" s="61"/>
      <c r="AH379" s="61"/>
      <c r="AI379" s="61"/>
      <c r="AJ379" s="61"/>
      <c r="AK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2"/>
      <c r="W380" s="61"/>
      <c r="X380" s="61"/>
      <c r="Y380" s="61"/>
      <c r="Z380" s="61"/>
      <c r="AA380" s="61"/>
      <c r="AB380" s="61"/>
      <c r="AC380" s="61"/>
      <c r="AD380" s="61"/>
      <c r="AE380" s="61"/>
      <c r="AF380" s="61"/>
      <c r="AG380" s="61"/>
      <c r="AH380" s="61"/>
      <c r="AI380" s="61"/>
      <c r="AJ380" s="61"/>
      <c r="AK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2"/>
      <c r="W381" s="61"/>
      <c r="X381" s="61"/>
      <c r="Y381" s="61"/>
      <c r="Z381" s="61"/>
      <c r="AA381" s="61"/>
      <c r="AB381" s="61"/>
      <c r="AC381" s="61"/>
      <c r="AD381" s="61"/>
      <c r="AE381" s="61"/>
      <c r="AF381" s="61"/>
      <c r="AG381" s="61"/>
      <c r="AH381" s="61"/>
      <c r="AI381" s="61"/>
      <c r="AJ381" s="61"/>
      <c r="AK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2"/>
      <c r="W382" s="61"/>
      <c r="X382" s="61"/>
      <c r="Y382" s="61"/>
      <c r="Z382" s="61"/>
      <c r="AA382" s="61"/>
      <c r="AB382" s="61"/>
      <c r="AC382" s="61"/>
      <c r="AD382" s="61"/>
      <c r="AE382" s="61"/>
      <c r="AF382" s="61"/>
      <c r="AG382" s="61"/>
      <c r="AH382" s="61"/>
      <c r="AI382" s="61"/>
      <c r="AJ382" s="61"/>
      <c r="AK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2"/>
      <c r="W383" s="61"/>
      <c r="X383" s="61"/>
      <c r="Y383" s="61"/>
      <c r="Z383" s="61"/>
      <c r="AA383" s="61"/>
      <c r="AB383" s="61"/>
      <c r="AC383" s="61"/>
      <c r="AD383" s="61"/>
      <c r="AE383" s="61"/>
      <c r="AF383" s="61"/>
      <c r="AG383" s="61"/>
      <c r="AH383" s="61"/>
      <c r="AI383" s="61"/>
      <c r="AJ383" s="61"/>
      <c r="AK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2"/>
      <c r="W384" s="61"/>
      <c r="X384" s="61"/>
      <c r="Y384" s="61"/>
      <c r="Z384" s="61"/>
      <c r="AA384" s="61"/>
      <c r="AB384" s="61"/>
      <c r="AC384" s="61"/>
      <c r="AD384" s="61"/>
      <c r="AE384" s="61"/>
      <c r="AF384" s="61"/>
      <c r="AG384" s="61"/>
      <c r="AH384" s="61"/>
      <c r="AI384" s="61"/>
      <c r="AJ384" s="61"/>
      <c r="AK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2"/>
      <c r="W385" s="61"/>
      <c r="X385" s="61"/>
      <c r="Y385" s="61"/>
      <c r="Z385" s="61"/>
      <c r="AA385" s="61"/>
      <c r="AB385" s="61"/>
      <c r="AC385" s="61"/>
      <c r="AD385" s="61"/>
      <c r="AE385" s="61"/>
      <c r="AF385" s="61"/>
      <c r="AG385" s="61"/>
      <c r="AH385" s="61"/>
      <c r="AI385" s="61"/>
      <c r="AJ385" s="61"/>
      <c r="AK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2"/>
      <c r="W386" s="61"/>
      <c r="X386" s="61"/>
      <c r="Y386" s="61"/>
      <c r="Z386" s="61"/>
      <c r="AA386" s="61"/>
      <c r="AB386" s="61"/>
      <c r="AC386" s="61"/>
      <c r="AD386" s="61"/>
      <c r="AE386" s="61"/>
      <c r="AF386" s="61"/>
      <c r="AG386" s="61"/>
      <c r="AH386" s="61"/>
      <c r="AI386" s="61"/>
      <c r="AJ386" s="61"/>
      <c r="AK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2"/>
      <c r="W387" s="61"/>
      <c r="X387" s="61"/>
      <c r="Y387" s="61"/>
      <c r="Z387" s="61"/>
      <c r="AA387" s="61"/>
      <c r="AB387" s="61"/>
      <c r="AC387" s="61"/>
      <c r="AD387" s="61"/>
      <c r="AE387" s="61"/>
      <c r="AF387" s="61"/>
      <c r="AG387" s="61"/>
      <c r="AH387" s="61"/>
      <c r="AI387" s="61"/>
      <c r="AJ387" s="61"/>
      <c r="AK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2"/>
      <c r="W388" s="61"/>
      <c r="X388" s="61"/>
      <c r="Y388" s="61"/>
      <c r="Z388" s="61"/>
      <c r="AA388" s="61"/>
      <c r="AB388" s="61"/>
      <c r="AC388" s="61"/>
      <c r="AD388" s="61"/>
      <c r="AE388" s="61"/>
      <c r="AF388" s="61"/>
      <c r="AG388" s="61"/>
      <c r="AH388" s="61"/>
      <c r="AI388" s="61"/>
      <c r="AJ388" s="61"/>
      <c r="AK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2"/>
      <c r="W389" s="61"/>
      <c r="X389" s="61"/>
      <c r="Y389" s="61"/>
      <c r="Z389" s="61"/>
      <c r="AA389" s="61"/>
      <c r="AB389" s="61"/>
      <c r="AC389" s="61"/>
      <c r="AD389" s="61"/>
      <c r="AE389" s="61"/>
      <c r="AF389" s="61"/>
      <c r="AG389" s="61"/>
      <c r="AH389" s="61"/>
      <c r="AI389" s="61"/>
      <c r="AJ389" s="61"/>
      <c r="AK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2"/>
      <c r="W390" s="61"/>
      <c r="X390" s="61"/>
      <c r="Y390" s="61"/>
      <c r="Z390" s="61"/>
      <c r="AA390" s="61"/>
      <c r="AB390" s="61"/>
      <c r="AC390" s="61"/>
      <c r="AD390" s="61"/>
      <c r="AE390" s="61"/>
      <c r="AF390" s="61"/>
      <c r="AG390" s="61"/>
      <c r="AH390" s="61"/>
      <c r="AI390" s="61"/>
      <c r="AJ390" s="61"/>
      <c r="AK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2"/>
      <c r="W391" s="61"/>
      <c r="X391" s="61"/>
      <c r="Y391" s="61"/>
      <c r="Z391" s="61"/>
      <c r="AA391" s="61"/>
      <c r="AB391" s="61"/>
      <c r="AC391" s="61"/>
      <c r="AD391" s="61"/>
      <c r="AE391" s="61"/>
      <c r="AF391" s="61"/>
      <c r="AG391" s="61"/>
      <c r="AH391" s="61"/>
      <c r="AI391" s="61"/>
      <c r="AJ391" s="61"/>
      <c r="AK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2"/>
      <c r="W392" s="61"/>
      <c r="X392" s="61"/>
      <c r="Y392" s="61"/>
      <c r="Z392" s="61"/>
      <c r="AA392" s="61"/>
      <c r="AB392" s="61"/>
      <c r="AC392" s="61"/>
      <c r="AD392" s="61"/>
      <c r="AE392" s="61"/>
      <c r="AF392" s="61"/>
      <c r="AG392" s="61"/>
      <c r="AH392" s="61"/>
      <c r="AI392" s="61"/>
      <c r="AJ392" s="61"/>
      <c r="AK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2"/>
      <c r="W393" s="61"/>
      <c r="X393" s="61"/>
      <c r="Y393" s="61"/>
      <c r="Z393" s="61"/>
      <c r="AA393" s="61"/>
      <c r="AB393" s="61"/>
      <c r="AC393" s="61"/>
      <c r="AD393" s="61"/>
      <c r="AE393" s="61"/>
      <c r="AF393" s="61"/>
      <c r="AG393" s="61"/>
      <c r="AH393" s="61"/>
      <c r="AI393" s="61"/>
      <c r="AJ393" s="61"/>
      <c r="AK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2"/>
      <c r="W394" s="61"/>
      <c r="X394" s="61"/>
      <c r="Y394" s="61"/>
      <c r="Z394" s="61"/>
      <c r="AA394" s="61"/>
      <c r="AB394" s="61"/>
      <c r="AC394" s="61"/>
      <c r="AD394" s="61"/>
      <c r="AE394" s="61"/>
      <c r="AF394" s="61"/>
      <c r="AG394" s="61"/>
      <c r="AH394" s="61"/>
      <c r="AI394" s="61"/>
      <c r="AJ394" s="61"/>
      <c r="AK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2"/>
      <c r="W395" s="61"/>
      <c r="X395" s="61"/>
      <c r="Y395" s="61"/>
      <c r="Z395" s="61"/>
      <c r="AA395" s="61"/>
      <c r="AB395" s="61"/>
      <c r="AC395" s="61"/>
      <c r="AD395" s="61"/>
      <c r="AE395" s="61"/>
      <c r="AF395" s="61"/>
      <c r="AG395" s="61"/>
      <c r="AH395" s="61"/>
      <c r="AI395" s="61"/>
      <c r="AJ395" s="61"/>
      <c r="AK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2"/>
      <c r="W396" s="61"/>
      <c r="X396" s="61"/>
      <c r="Y396" s="61"/>
      <c r="Z396" s="61"/>
      <c r="AA396" s="61"/>
      <c r="AB396" s="61"/>
      <c r="AC396" s="61"/>
      <c r="AD396" s="61"/>
      <c r="AE396" s="61"/>
      <c r="AF396" s="61"/>
      <c r="AG396" s="61"/>
      <c r="AH396" s="61"/>
      <c r="AI396" s="61"/>
      <c r="AJ396" s="61"/>
      <c r="AK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2"/>
      <c r="W397" s="61"/>
      <c r="X397" s="61"/>
      <c r="Y397" s="61"/>
      <c r="Z397" s="61"/>
      <c r="AA397" s="61"/>
      <c r="AB397" s="61"/>
      <c r="AC397" s="61"/>
      <c r="AD397" s="61"/>
      <c r="AE397" s="61"/>
      <c r="AF397" s="61"/>
      <c r="AG397" s="61"/>
      <c r="AH397" s="61"/>
      <c r="AI397" s="61"/>
      <c r="AJ397" s="61"/>
      <c r="AK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2"/>
      <c r="W398" s="61"/>
      <c r="X398" s="61"/>
      <c r="Y398" s="61"/>
      <c r="Z398" s="61"/>
      <c r="AA398" s="61"/>
      <c r="AB398" s="61"/>
      <c r="AC398" s="61"/>
      <c r="AD398" s="61"/>
      <c r="AE398" s="61"/>
      <c r="AF398" s="61"/>
      <c r="AG398" s="61"/>
      <c r="AH398" s="61"/>
      <c r="AI398" s="61"/>
      <c r="AJ398" s="61"/>
      <c r="AK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2"/>
      <c r="W399" s="61"/>
      <c r="X399" s="61"/>
      <c r="Y399" s="61"/>
      <c r="Z399" s="61"/>
      <c r="AA399" s="61"/>
      <c r="AB399" s="61"/>
      <c r="AC399" s="61"/>
      <c r="AD399" s="61"/>
      <c r="AE399" s="61"/>
      <c r="AF399" s="61"/>
      <c r="AG399" s="61"/>
      <c r="AH399" s="61"/>
      <c r="AI399" s="61"/>
      <c r="AJ399" s="61"/>
      <c r="AK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2"/>
      <c r="W400" s="61"/>
      <c r="X400" s="61"/>
      <c r="Y400" s="61"/>
      <c r="Z400" s="61"/>
      <c r="AA400" s="61"/>
      <c r="AB400" s="61"/>
      <c r="AC400" s="61"/>
      <c r="AD400" s="61"/>
      <c r="AE400" s="61"/>
      <c r="AF400" s="61"/>
      <c r="AG400" s="61"/>
      <c r="AH400" s="61"/>
      <c r="AI400" s="61"/>
      <c r="AJ400" s="61"/>
      <c r="AK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2"/>
      <c r="W401" s="61"/>
      <c r="X401" s="61"/>
      <c r="Y401" s="61"/>
      <c r="Z401" s="61"/>
      <c r="AA401" s="61"/>
      <c r="AB401" s="61"/>
      <c r="AC401" s="61"/>
      <c r="AD401" s="61"/>
      <c r="AE401" s="61"/>
      <c r="AF401" s="61"/>
      <c r="AG401" s="61"/>
      <c r="AH401" s="61"/>
      <c r="AI401" s="61"/>
      <c r="AJ401" s="61"/>
      <c r="AK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2"/>
      <c r="W402" s="61"/>
      <c r="X402" s="61"/>
      <c r="Y402" s="61"/>
      <c r="Z402" s="61"/>
      <c r="AA402" s="61"/>
      <c r="AB402" s="61"/>
      <c r="AC402" s="61"/>
      <c r="AD402" s="61"/>
      <c r="AE402" s="61"/>
      <c r="AF402" s="61"/>
      <c r="AG402" s="61"/>
      <c r="AH402" s="61"/>
      <c r="AI402" s="61"/>
      <c r="AJ402" s="61"/>
      <c r="AK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2"/>
      <c r="W403" s="61"/>
      <c r="X403" s="61"/>
      <c r="Y403" s="61"/>
      <c r="Z403" s="61"/>
      <c r="AA403" s="61"/>
      <c r="AB403" s="61"/>
      <c r="AC403" s="61"/>
      <c r="AD403" s="61"/>
      <c r="AE403" s="61"/>
      <c r="AF403" s="61"/>
      <c r="AG403" s="61"/>
      <c r="AH403" s="61"/>
      <c r="AI403" s="61"/>
      <c r="AJ403" s="61"/>
      <c r="AK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2"/>
      <c r="W404" s="61"/>
      <c r="X404" s="61"/>
      <c r="Y404" s="61"/>
      <c r="Z404" s="61"/>
      <c r="AA404" s="61"/>
      <c r="AB404" s="61"/>
      <c r="AC404" s="61"/>
      <c r="AD404" s="61"/>
      <c r="AE404" s="61"/>
      <c r="AF404" s="61"/>
      <c r="AG404" s="61"/>
      <c r="AH404" s="61"/>
      <c r="AI404" s="61"/>
      <c r="AJ404" s="61"/>
      <c r="AK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2"/>
      <c r="W405" s="61"/>
      <c r="X405" s="61"/>
      <c r="Y405" s="61"/>
      <c r="Z405" s="61"/>
      <c r="AA405" s="61"/>
      <c r="AB405" s="61"/>
      <c r="AC405" s="61"/>
      <c r="AD405" s="61"/>
      <c r="AE405" s="61"/>
      <c r="AF405" s="61"/>
      <c r="AG405" s="61"/>
      <c r="AH405" s="61"/>
      <c r="AI405" s="61"/>
      <c r="AJ405" s="61"/>
      <c r="AK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2"/>
      <c r="W406" s="61"/>
      <c r="X406" s="61"/>
      <c r="Y406" s="61"/>
      <c r="Z406" s="61"/>
      <c r="AA406" s="61"/>
      <c r="AB406" s="61"/>
      <c r="AC406" s="61"/>
      <c r="AD406" s="61"/>
      <c r="AE406" s="61"/>
      <c r="AF406" s="61"/>
      <c r="AG406" s="61"/>
      <c r="AH406" s="61"/>
      <c r="AI406" s="61"/>
      <c r="AJ406" s="61"/>
      <c r="AK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2"/>
      <c r="W407" s="61"/>
      <c r="X407" s="61"/>
      <c r="Y407" s="61"/>
      <c r="Z407" s="61"/>
      <c r="AA407" s="61"/>
      <c r="AB407" s="61"/>
      <c r="AC407" s="61"/>
      <c r="AD407" s="61"/>
      <c r="AE407" s="61"/>
      <c r="AF407" s="61"/>
      <c r="AG407" s="61"/>
      <c r="AH407" s="61"/>
      <c r="AI407" s="61"/>
      <c r="AJ407" s="61"/>
      <c r="AK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2"/>
      <c r="W408" s="61"/>
      <c r="X408" s="61"/>
      <c r="Y408" s="61"/>
      <c r="Z408" s="61"/>
      <c r="AA408" s="61"/>
      <c r="AB408" s="61"/>
      <c r="AC408" s="61"/>
      <c r="AD408" s="61"/>
      <c r="AE408" s="61"/>
      <c r="AF408" s="61"/>
      <c r="AG408" s="61"/>
      <c r="AH408" s="61"/>
      <c r="AI408" s="61"/>
      <c r="AJ408" s="61"/>
      <c r="AK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2"/>
      <c r="W409" s="61"/>
      <c r="X409" s="61"/>
      <c r="Y409" s="61"/>
      <c r="Z409" s="61"/>
      <c r="AA409" s="61"/>
      <c r="AB409" s="61"/>
      <c r="AC409" s="61"/>
      <c r="AD409" s="61"/>
      <c r="AE409" s="61"/>
      <c r="AF409" s="61"/>
      <c r="AG409" s="61"/>
      <c r="AH409" s="61"/>
      <c r="AI409" s="61"/>
      <c r="AJ409" s="61"/>
      <c r="AK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2"/>
      <c r="W410" s="61"/>
      <c r="X410" s="61"/>
      <c r="Y410" s="61"/>
      <c r="Z410" s="61"/>
      <c r="AA410" s="61"/>
      <c r="AB410" s="61"/>
      <c r="AC410" s="61"/>
      <c r="AD410" s="61"/>
      <c r="AE410" s="61"/>
      <c r="AF410" s="61"/>
      <c r="AG410" s="61"/>
      <c r="AH410" s="61"/>
      <c r="AI410" s="61"/>
      <c r="AJ410" s="61"/>
      <c r="AK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2"/>
      <c r="W411" s="61"/>
      <c r="X411" s="61"/>
      <c r="Y411" s="61"/>
      <c r="Z411" s="61"/>
      <c r="AA411" s="61"/>
      <c r="AB411" s="61"/>
      <c r="AC411" s="61"/>
      <c r="AD411" s="61"/>
      <c r="AE411" s="61"/>
      <c r="AF411" s="61"/>
      <c r="AG411" s="61"/>
      <c r="AH411" s="61"/>
      <c r="AI411" s="61"/>
      <c r="AJ411" s="61"/>
      <c r="AK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2"/>
      <c r="W412" s="61"/>
      <c r="X412" s="61"/>
      <c r="Y412" s="61"/>
      <c r="Z412" s="61"/>
      <c r="AA412" s="61"/>
      <c r="AB412" s="61"/>
      <c r="AC412" s="61"/>
      <c r="AD412" s="61"/>
      <c r="AE412" s="61"/>
      <c r="AF412" s="61"/>
      <c r="AG412" s="61"/>
      <c r="AH412" s="61"/>
      <c r="AI412" s="61"/>
      <c r="AJ412" s="61"/>
      <c r="AK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2"/>
      <c r="W413" s="61"/>
      <c r="X413" s="61"/>
      <c r="Y413" s="61"/>
      <c r="Z413" s="61"/>
      <c r="AA413" s="61"/>
      <c r="AB413" s="61"/>
      <c r="AC413" s="61"/>
      <c r="AD413" s="61"/>
      <c r="AE413" s="61"/>
      <c r="AF413" s="61"/>
      <c r="AG413" s="61"/>
      <c r="AH413" s="61"/>
      <c r="AI413" s="61"/>
      <c r="AJ413" s="61"/>
      <c r="AK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2"/>
      <c r="W414" s="61"/>
      <c r="X414" s="61"/>
      <c r="Y414" s="61"/>
      <c r="Z414" s="61"/>
      <c r="AA414" s="61"/>
      <c r="AB414" s="61"/>
      <c r="AC414" s="61"/>
      <c r="AD414" s="61"/>
      <c r="AE414" s="61"/>
      <c r="AF414" s="61"/>
      <c r="AG414" s="61"/>
      <c r="AH414" s="61"/>
      <c r="AI414" s="61"/>
      <c r="AJ414" s="61"/>
      <c r="AK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2"/>
      <c r="W415" s="61"/>
      <c r="X415" s="61"/>
      <c r="Y415" s="61"/>
      <c r="Z415" s="61"/>
      <c r="AA415" s="61"/>
      <c r="AB415" s="61"/>
      <c r="AC415" s="61"/>
      <c r="AD415" s="61"/>
      <c r="AE415" s="61"/>
      <c r="AF415" s="61"/>
      <c r="AG415" s="61"/>
      <c r="AH415" s="61"/>
      <c r="AI415" s="61"/>
      <c r="AJ415" s="61"/>
      <c r="AK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2"/>
      <c r="W416" s="61"/>
      <c r="X416" s="61"/>
      <c r="Y416" s="61"/>
      <c r="Z416" s="61"/>
      <c r="AA416" s="61"/>
      <c r="AB416" s="61"/>
      <c r="AC416" s="61"/>
      <c r="AD416" s="61"/>
      <c r="AE416" s="61"/>
      <c r="AF416" s="61"/>
      <c r="AG416" s="61"/>
      <c r="AH416" s="61"/>
      <c r="AI416" s="61"/>
      <c r="AJ416" s="61"/>
      <c r="AK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2"/>
      <c r="W417" s="61"/>
      <c r="X417" s="61"/>
      <c r="Y417" s="61"/>
      <c r="Z417" s="61"/>
      <c r="AA417" s="61"/>
      <c r="AB417" s="61"/>
      <c r="AC417" s="61"/>
      <c r="AD417" s="61"/>
      <c r="AE417" s="61"/>
      <c r="AF417" s="61"/>
      <c r="AG417" s="61"/>
      <c r="AH417" s="61"/>
      <c r="AI417" s="61"/>
      <c r="AJ417" s="61"/>
      <c r="AK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2"/>
      <c r="W418" s="61"/>
      <c r="X418" s="61"/>
      <c r="Y418" s="61"/>
      <c r="Z418" s="61"/>
      <c r="AA418" s="61"/>
      <c r="AB418" s="61"/>
      <c r="AC418" s="61"/>
      <c r="AD418" s="61"/>
      <c r="AE418" s="61"/>
      <c r="AF418" s="61"/>
      <c r="AG418" s="61"/>
      <c r="AH418" s="61"/>
      <c r="AI418" s="61"/>
      <c r="AJ418" s="61"/>
      <c r="AK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2"/>
      <c r="W419" s="61"/>
      <c r="X419" s="61"/>
      <c r="Y419" s="61"/>
      <c r="Z419" s="61"/>
      <c r="AA419" s="61"/>
      <c r="AB419" s="61"/>
      <c r="AC419" s="61"/>
      <c r="AD419" s="61"/>
      <c r="AE419" s="61"/>
      <c r="AF419" s="61"/>
      <c r="AG419" s="61"/>
      <c r="AH419" s="61"/>
      <c r="AI419" s="61"/>
      <c r="AJ419" s="61"/>
      <c r="AK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2"/>
      <c r="W420" s="61"/>
      <c r="X420" s="61"/>
      <c r="Y420" s="61"/>
      <c r="Z420" s="61"/>
      <c r="AA420" s="61"/>
      <c r="AB420" s="61"/>
      <c r="AC420" s="61"/>
      <c r="AD420" s="61"/>
      <c r="AE420" s="61"/>
      <c r="AF420" s="61"/>
      <c r="AG420" s="61"/>
      <c r="AH420" s="61"/>
      <c r="AI420" s="61"/>
      <c r="AJ420" s="61"/>
      <c r="AK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2"/>
      <c r="W421" s="61"/>
      <c r="X421" s="61"/>
      <c r="Y421" s="61"/>
      <c r="Z421" s="61"/>
      <c r="AA421" s="61"/>
      <c r="AB421" s="61"/>
      <c r="AC421" s="61"/>
      <c r="AD421" s="61"/>
      <c r="AE421" s="61"/>
      <c r="AF421" s="61"/>
      <c r="AG421" s="61"/>
      <c r="AH421" s="61"/>
      <c r="AI421" s="61"/>
      <c r="AJ421" s="61"/>
      <c r="AK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2"/>
      <c r="W422" s="61"/>
      <c r="X422" s="61"/>
      <c r="Y422" s="61"/>
      <c r="Z422" s="61"/>
      <c r="AA422" s="61"/>
      <c r="AB422" s="61"/>
      <c r="AC422" s="61"/>
      <c r="AD422" s="61"/>
      <c r="AE422" s="61"/>
      <c r="AF422" s="61"/>
      <c r="AG422" s="61"/>
      <c r="AH422" s="61"/>
      <c r="AI422" s="61"/>
      <c r="AJ422" s="61"/>
      <c r="AK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2"/>
      <c r="W423" s="61"/>
      <c r="X423" s="61"/>
      <c r="Y423" s="61"/>
      <c r="Z423" s="61"/>
      <c r="AA423" s="61"/>
      <c r="AB423" s="61"/>
      <c r="AC423" s="61"/>
      <c r="AD423" s="61"/>
      <c r="AE423" s="61"/>
      <c r="AF423" s="61"/>
      <c r="AG423" s="61"/>
      <c r="AH423" s="61"/>
      <c r="AI423" s="61"/>
      <c r="AJ423" s="61"/>
      <c r="AK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2"/>
      <c r="W424" s="61"/>
      <c r="X424" s="61"/>
      <c r="Y424" s="61"/>
      <c r="Z424" s="61"/>
      <c r="AA424" s="61"/>
      <c r="AB424" s="61"/>
      <c r="AC424" s="61"/>
      <c r="AD424" s="61"/>
      <c r="AE424" s="61"/>
      <c r="AF424" s="61"/>
      <c r="AG424" s="61"/>
      <c r="AH424" s="61"/>
      <c r="AI424" s="61"/>
      <c r="AJ424" s="61"/>
      <c r="AK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2"/>
      <c r="W425" s="61"/>
      <c r="X425" s="61"/>
      <c r="Y425" s="61"/>
      <c r="Z425" s="61"/>
      <c r="AA425" s="61"/>
      <c r="AB425" s="61"/>
      <c r="AC425" s="61"/>
      <c r="AD425" s="61"/>
      <c r="AE425" s="61"/>
      <c r="AF425" s="61"/>
      <c r="AG425" s="61"/>
      <c r="AH425" s="61"/>
      <c r="AI425" s="61"/>
      <c r="AJ425" s="61"/>
      <c r="AK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2"/>
      <c r="W426" s="61"/>
      <c r="X426" s="61"/>
      <c r="Y426" s="61"/>
      <c r="Z426" s="61"/>
      <c r="AA426" s="61"/>
      <c r="AB426" s="61"/>
      <c r="AC426" s="61"/>
      <c r="AD426" s="61"/>
      <c r="AE426" s="61"/>
      <c r="AF426" s="61"/>
      <c r="AG426" s="61"/>
      <c r="AH426" s="61"/>
      <c r="AI426" s="61"/>
      <c r="AJ426" s="61"/>
      <c r="AK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2"/>
      <c r="W427" s="61"/>
      <c r="X427" s="61"/>
      <c r="Y427" s="61"/>
      <c r="Z427" s="61"/>
      <c r="AA427" s="61"/>
      <c r="AB427" s="61"/>
      <c r="AC427" s="61"/>
      <c r="AD427" s="61"/>
      <c r="AE427" s="61"/>
      <c r="AF427" s="61"/>
      <c r="AG427" s="61"/>
      <c r="AH427" s="61"/>
      <c r="AI427" s="61"/>
      <c r="AJ427" s="61"/>
      <c r="AK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2"/>
      <c r="W428" s="61"/>
      <c r="X428" s="61"/>
      <c r="Y428" s="61"/>
      <c r="Z428" s="61"/>
      <c r="AA428" s="61"/>
      <c r="AB428" s="61"/>
      <c r="AC428" s="61"/>
      <c r="AD428" s="61"/>
      <c r="AE428" s="61"/>
      <c r="AF428" s="61"/>
      <c r="AG428" s="61"/>
      <c r="AH428" s="61"/>
      <c r="AI428" s="61"/>
      <c r="AJ428" s="61"/>
      <c r="AK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2"/>
      <c r="W429" s="61"/>
      <c r="X429" s="61"/>
      <c r="Y429" s="61"/>
      <c r="Z429" s="61"/>
      <c r="AA429" s="61"/>
      <c r="AB429" s="61"/>
      <c r="AC429" s="61"/>
      <c r="AD429" s="61"/>
      <c r="AE429" s="61"/>
      <c r="AF429" s="61"/>
      <c r="AG429" s="61"/>
      <c r="AH429" s="61"/>
      <c r="AI429" s="61"/>
      <c r="AJ429" s="61"/>
      <c r="AK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2"/>
      <c r="W430" s="61"/>
      <c r="X430" s="61"/>
      <c r="Y430" s="61"/>
      <c r="Z430" s="61"/>
      <c r="AA430" s="61"/>
      <c r="AB430" s="61"/>
      <c r="AC430" s="61"/>
      <c r="AD430" s="61"/>
      <c r="AE430" s="61"/>
      <c r="AF430" s="61"/>
      <c r="AG430" s="61"/>
      <c r="AH430" s="61"/>
      <c r="AI430" s="61"/>
      <c r="AJ430" s="61"/>
      <c r="AK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2"/>
      <c r="W431" s="61"/>
      <c r="X431" s="61"/>
      <c r="Y431" s="61"/>
      <c r="Z431" s="61"/>
      <c r="AA431" s="61"/>
      <c r="AB431" s="61"/>
      <c r="AC431" s="61"/>
      <c r="AD431" s="61"/>
      <c r="AE431" s="61"/>
      <c r="AF431" s="61"/>
      <c r="AG431" s="61"/>
      <c r="AH431" s="61"/>
      <c r="AI431" s="61"/>
      <c r="AJ431" s="61"/>
      <c r="AK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2"/>
      <c r="W432" s="61"/>
      <c r="X432" s="61"/>
      <c r="Y432" s="61"/>
      <c r="Z432" s="61"/>
      <c r="AA432" s="61"/>
      <c r="AB432" s="61"/>
      <c r="AC432" s="61"/>
      <c r="AD432" s="61"/>
      <c r="AE432" s="61"/>
      <c r="AF432" s="61"/>
      <c r="AG432" s="61"/>
      <c r="AH432" s="61"/>
      <c r="AI432" s="61"/>
      <c r="AJ432" s="61"/>
      <c r="AK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2"/>
      <c r="W433" s="61"/>
      <c r="X433" s="61"/>
      <c r="Y433" s="61"/>
      <c r="Z433" s="61"/>
      <c r="AA433" s="61"/>
      <c r="AB433" s="61"/>
      <c r="AC433" s="61"/>
      <c r="AD433" s="61"/>
      <c r="AE433" s="61"/>
      <c r="AF433" s="61"/>
      <c r="AG433" s="61"/>
      <c r="AH433" s="61"/>
      <c r="AI433" s="61"/>
      <c r="AJ433" s="61"/>
      <c r="AK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2"/>
      <c r="W434" s="61"/>
      <c r="X434" s="61"/>
      <c r="Y434" s="61"/>
      <c r="Z434" s="61"/>
      <c r="AA434" s="61"/>
      <c r="AB434" s="61"/>
      <c r="AC434" s="61"/>
      <c r="AD434" s="61"/>
      <c r="AE434" s="61"/>
      <c r="AF434" s="61"/>
      <c r="AG434" s="61"/>
      <c r="AH434" s="61"/>
      <c r="AI434" s="61"/>
      <c r="AJ434" s="61"/>
      <c r="AK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2"/>
      <c r="W435" s="61"/>
      <c r="X435" s="61"/>
      <c r="Y435" s="61"/>
      <c r="Z435" s="61"/>
      <c r="AA435" s="61"/>
      <c r="AB435" s="61"/>
      <c r="AC435" s="61"/>
      <c r="AD435" s="61"/>
      <c r="AE435" s="61"/>
      <c r="AF435" s="61"/>
      <c r="AG435" s="61"/>
      <c r="AH435" s="61"/>
      <c r="AI435" s="61"/>
      <c r="AJ435" s="61"/>
      <c r="AK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2"/>
      <c r="W436" s="61"/>
      <c r="X436" s="61"/>
      <c r="Y436" s="61"/>
      <c r="Z436" s="61"/>
      <c r="AA436" s="61"/>
      <c r="AB436" s="61"/>
      <c r="AC436" s="61"/>
      <c r="AD436" s="61"/>
      <c r="AE436" s="61"/>
      <c r="AF436" s="61"/>
      <c r="AG436" s="61"/>
      <c r="AH436" s="61"/>
      <c r="AI436" s="61"/>
      <c r="AJ436" s="61"/>
      <c r="AK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2"/>
      <c r="W437" s="61"/>
      <c r="X437" s="61"/>
      <c r="Y437" s="61"/>
      <c r="Z437" s="61"/>
      <c r="AA437" s="61"/>
      <c r="AB437" s="61"/>
      <c r="AC437" s="61"/>
      <c r="AD437" s="61"/>
      <c r="AE437" s="61"/>
      <c r="AF437" s="61"/>
      <c r="AG437" s="61"/>
      <c r="AH437" s="61"/>
      <c r="AI437" s="61"/>
      <c r="AJ437" s="61"/>
      <c r="AK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2"/>
      <c r="W438" s="61"/>
      <c r="X438" s="61"/>
      <c r="Y438" s="61"/>
      <c r="Z438" s="61"/>
      <c r="AA438" s="61"/>
      <c r="AB438" s="61"/>
      <c r="AC438" s="61"/>
      <c r="AD438" s="61"/>
      <c r="AE438" s="61"/>
      <c r="AF438" s="61"/>
      <c r="AG438" s="61"/>
      <c r="AH438" s="61"/>
      <c r="AI438" s="61"/>
      <c r="AJ438" s="61"/>
      <c r="AK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2"/>
      <c r="W439" s="61"/>
      <c r="X439" s="61"/>
      <c r="Y439" s="61"/>
      <c r="Z439" s="61"/>
      <c r="AA439" s="61"/>
      <c r="AB439" s="61"/>
      <c r="AC439" s="61"/>
      <c r="AD439" s="61"/>
      <c r="AE439" s="61"/>
      <c r="AF439" s="61"/>
      <c r="AG439" s="61"/>
      <c r="AH439" s="61"/>
      <c r="AI439" s="61"/>
      <c r="AJ439" s="61"/>
      <c r="AK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2"/>
      <c r="W440" s="61"/>
      <c r="X440" s="61"/>
      <c r="Y440" s="61"/>
      <c r="Z440" s="61"/>
      <c r="AA440" s="61"/>
      <c r="AB440" s="61"/>
      <c r="AC440" s="61"/>
      <c r="AD440" s="61"/>
      <c r="AE440" s="61"/>
      <c r="AF440" s="61"/>
      <c r="AG440" s="61"/>
      <c r="AH440" s="61"/>
      <c r="AI440" s="61"/>
      <c r="AJ440" s="61"/>
      <c r="AK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2"/>
      <c r="W441" s="61"/>
      <c r="X441" s="61"/>
      <c r="Y441" s="61"/>
      <c r="Z441" s="61"/>
      <c r="AA441" s="61"/>
      <c r="AB441" s="61"/>
      <c r="AC441" s="61"/>
      <c r="AD441" s="61"/>
      <c r="AE441" s="61"/>
      <c r="AF441" s="61"/>
      <c r="AG441" s="61"/>
      <c r="AH441" s="61"/>
      <c r="AI441" s="61"/>
      <c r="AJ441" s="61"/>
      <c r="AK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2"/>
      <c r="W442" s="61"/>
      <c r="X442" s="61"/>
      <c r="Y442" s="61"/>
      <c r="Z442" s="61"/>
      <c r="AA442" s="61"/>
      <c r="AB442" s="61"/>
      <c r="AC442" s="61"/>
      <c r="AD442" s="61"/>
      <c r="AE442" s="61"/>
      <c r="AF442" s="61"/>
      <c r="AG442" s="61"/>
      <c r="AH442" s="61"/>
      <c r="AI442" s="61"/>
      <c r="AJ442" s="61"/>
      <c r="AK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2"/>
      <c r="W443" s="61"/>
      <c r="X443" s="61"/>
      <c r="Y443" s="61"/>
      <c r="Z443" s="61"/>
      <c r="AA443" s="61"/>
      <c r="AB443" s="61"/>
      <c r="AC443" s="61"/>
      <c r="AD443" s="61"/>
      <c r="AE443" s="61"/>
      <c r="AF443" s="61"/>
      <c r="AG443" s="61"/>
      <c r="AH443" s="61"/>
      <c r="AI443" s="61"/>
      <c r="AJ443" s="61"/>
      <c r="AK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2"/>
      <c r="W444" s="61"/>
      <c r="X444" s="61"/>
      <c r="Y444" s="61"/>
      <c r="Z444" s="61"/>
      <c r="AA444" s="61"/>
      <c r="AB444" s="61"/>
      <c r="AC444" s="61"/>
      <c r="AD444" s="61"/>
      <c r="AE444" s="61"/>
      <c r="AF444" s="61"/>
      <c r="AG444" s="61"/>
      <c r="AH444" s="61"/>
      <c r="AI444" s="61"/>
      <c r="AJ444" s="61"/>
      <c r="AK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2"/>
      <c r="W445" s="61"/>
      <c r="X445" s="61"/>
      <c r="Y445" s="61"/>
      <c r="Z445" s="61"/>
      <c r="AA445" s="61"/>
      <c r="AB445" s="61"/>
      <c r="AC445" s="61"/>
      <c r="AD445" s="61"/>
      <c r="AE445" s="61"/>
      <c r="AF445" s="61"/>
      <c r="AG445" s="61"/>
      <c r="AH445" s="61"/>
      <c r="AI445" s="61"/>
      <c r="AJ445" s="61"/>
      <c r="AK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2"/>
      <c r="W446" s="61"/>
      <c r="X446" s="61"/>
      <c r="Y446" s="61"/>
      <c r="Z446" s="61"/>
      <c r="AA446" s="61"/>
      <c r="AB446" s="61"/>
      <c r="AC446" s="61"/>
      <c r="AD446" s="61"/>
      <c r="AE446" s="61"/>
      <c r="AF446" s="61"/>
      <c r="AG446" s="61"/>
      <c r="AH446" s="61"/>
      <c r="AI446" s="61"/>
      <c r="AJ446" s="61"/>
      <c r="AK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2"/>
      <c r="W447" s="61"/>
      <c r="X447" s="61"/>
      <c r="Y447" s="61"/>
      <c r="Z447" s="61"/>
      <c r="AA447" s="61"/>
      <c r="AB447" s="61"/>
      <c r="AC447" s="61"/>
      <c r="AD447" s="61"/>
      <c r="AE447" s="61"/>
      <c r="AF447" s="61"/>
      <c r="AG447" s="61"/>
      <c r="AH447" s="61"/>
      <c r="AI447" s="61"/>
      <c r="AJ447" s="61"/>
      <c r="AK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2"/>
      <c r="W448" s="61"/>
      <c r="X448" s="61"/>
      <c r="Y448" s="61"/>
      <c r="Z448" s="61"/>
      <c r="AA448" s="61"/>
      <c r="AB448" s="61"/>
      <c r="AC448" s="61"/>
      <c r="AD448" s="61"/>
      <c r="AE448" s="61"/>
      <c r="AF448" s="61"/>
      <c r="AG448" s="61"/>
      <c r="AH448" s="61"/>
      <c r="AI448" s="61"/>
      <c r="AJ448" s="61"/>
      <c r="AK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2"/>
      <c r="W449" s="61"/>
      <c r="X449" s="61"/>
      <c r="Y449" s="61"/>
      <c r="Z449" s="61"/>
      <c r="AA449" s="61"/>
      <c r="AB449" s="61"/>
      <c r="AC449" s="61"/>
      <c r="AD449" s="61"/>
      <c r="AE449" s="61"/>
      <c r="AF449" s="61"/>
      <c r="AG449" s="61"/>
      <c r="AH449" s="61"/>
      <c r="AI449" s="61"/>
      <c r="AJ449" s="61"/>
      <c r="AK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2"/>
      <c r="W450" s="61"/>
      <c r="X450" s="61"/>
      <c r="Y450" s="61"/>
      <c r="Z450" s="61"/>
      <c r="AA450" s="61"/>
      <c r="AB450" s="61"/>
      <c r="AC450" s="61"/>
      <c r="AD450" s="61"/>
      <c r="AE450" s="61"/>
      <c r="AF450" s="61"/>
      <c r="AG450" s="61"/>
      <c r="AH450" s="61"/>
      <c r="AI450" s="61"/>
      <c r="AJ450" s="61"/>
      <c r="AK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2"/>
      <c r="W451" s="61"/>
      <c r="X451" s="61"/>
      <c r="Y451" s="61"/>
      <c r="Z451" s="61"/>
      <c r="AA451" s="61"/>
      <c r="AB451" s="61"/>
      <c r="AC451" s="61"/>
      <c r="AD451" s="61"/>
      <c r="AE451" s="61"/>
      <c r="AF451" s="61"/>
      <c r="AG451" s="61"/>
      <c r="AH451" s="61"/>
      <c r="AI451" s="61"/>
      <c r="AJ451" s="61"/>
      <c r="AK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2"/>
      <c r="W452" s="61"/>
      <c r="X452" s="61"/>
      <c r="Y452" s="61"/>
      <c r="Z452" s="61"/>
      <c r="AA452" s="61"/>
      <c r="AB452" s="61"/>
      <c r="AC452" s="61"/>
      <c r="AD452" s="61"/>
      <c r="AE452" s="61"/>
      <c r="AF452" s="61"/>
      <c r="AG452" s="61"/>
      <c r="AH452" s="61"/>
      <c r="AI452" s="61"/>
      <c r="AJ452" s="61"/>
      <c r="AK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2"/>
      <c r="W453" s="61"/>
      <c r="X453" s="61"/>
      <c r="Y453" s="61"/>
      <c r="Z453" s="61"/>
      <c r="AA453" s="61"/>
      <c r="AB453" s="61"/>
      <c r="AC453" s="61"/>
      <c r="AD453" s="61"/>
      <c r="AE453" s="61"/>
      <c r="AF453" s="61"/>
      <c r="AG453" s="61"/>
      <c r="AH453" s="61"/>
      <c r="AI453" s="61"/>
      <c r="AJ453" s="61"/>
      <c r="AK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2"/>
      <c r="W454" s="61"/>
      <c r="X454" s="61"/>
      <c r="Y454" s="61"/>
      <c r="Z454" s="61"/>
      <c r="AA454" s="61"/>
      <c r="AB454" s="61"/>
      <c r="AC454" s="61"/>
      <c r="AD454" s="61"/>
      <c r="AE454" s="61"/>
      <c r="AF454" s="61"/>
      <c r="AG454" s="61"/>
      <c r="AH454" s="61"/>
      <c r="AI454" s="61"/>
      <c r="AJ454" s="61"/>
      <c r="AK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2"/>
      <c r="W455" s="61"/>
      <c r="X455" s="61"/>
      <c r="Y455" s="61"/>
      <c r="Z455" s="61"/>
      <c r="AA455" s="61"/>
      <c r="AB455" s="61"/>
      <c r="AC455" s="61"/>
      <c r="AD455" s="61"/>
      <c r="AE455" s="61"/>
      <c r="AF455" s="61"/>
      <c r="AG455" s="61"/>
      <c r="AH455" s="61"/>
      <c r="AI455" s="61"/>
      <c r="AJ455" s="61"/>
      <c r="AK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2"/>
      <c r="W456" s="61"/>
      <c r="X456" s="61"/>
      <c r="Y456" s="61"/>
      <c r="Z456" s="61"/>
      <c r="AA456" s="61"/>
      <c r="AB456" s="61"/>
      <c r="AC456" s="61"/>
      <c r="AD456" s="61"/>
      <c r="AE456" s="61"/>
      <c r="AF456" s="61"/>
      <c r="AG456" s="61"/>
      <c r="AH456" s="61"/>
      <c r="AI456" s="61"/>
      <c r="AJ456" s="61"/>
      <c r="AK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2"/>
      <c r="W457" s="61"/>
      <c r="X457" s="61"/>
      <c r="Y457" s="61"/>
      <c r="Z457" s="61"/>
      <c r="AA457" s="61"/>
      <c r="AB457" s="61"/>
      <c r="AC457" s="61"/>
      <c r="AD457" s="61"/>
      <c r="AE457" s="61"/>
      <c r="AF457" s="61"/>
      <c r="AG457" s="61"/>
      <c r="AH457" s="61"/>
      <c r="AI457" s="61"/>
      <c r="AJ457" s="61"/>
      <c r="AK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2"/>
      <c r="W458" s="61"/>
      <c r="X458" s="61"/>
      <c r="Y458" s="61"/>
      <c r="Z458" s="61"/>
      <c r="AA458" s="61"/>
      <c r="AB458" s="61"/>
      <c r="AC458" s="61"/>
      <c r="AD458" s="61"/>
      <c r="AE458" s="61"/>
      <c r="AF458" s="61"/>
      <c r="AG458" s="61"/>
      <c r="AH458" s="61"/>
      <c r="AI458" s="61"/>
      <c r="AJ458" s="61"/>
      <c r="AK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2"/>
      <c r="W459" s="61"/>
      <c r="X459" s="61"/>
      <c r="Y459" s="61"/>
      <c r="Z459" s="61"/>
      <c r="AA459" s="61"/>
      <c r="AB459" s="61"/>
      <c r="AC459" s="61"/>
      <c r="AD459" s="61"/>
      <c r="AE459" s="61"/>
      <c r="AF459" s="61"/>
      <c r="AG459" s="61"/>
      <c r="AH459" s="61"/>
      <c r="AI459" s="61"/>
      <c r="AJ459" s="61"/>
      <c r="AK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2"/>
      <c r="W460" s="61"/>
      <c r="X460" s="61"/>
      <c r="Y460" s="61"/>
      <c r="Z460" s="61"/>
      <c r="AA460" s="61"/>
      <c r="AB460" s="61"/>
      <c r="AC460" s="61"/>
      <c r="AD460" s="61"/>
      <c r="AE460" s="61"/>
      <c r="AF460" s="61"/>
      <c r="AG460" s="61"/>
      <c r="AH460" s="61"/>
      <c r="AI460" s="61"/>
      <c r="AJ460" s="61"/>
      <c r="AK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2"/>
      <c r="W461" s="61"/>
      <c r="X461" s="61"/>
      <c r="Y461" s="61"/>
      <c r="Z461" s="61"/>
      <c r="AA461" s="61"/>
      <c r="AB461" s="61"/>
      <c r="AC461" s="61"/>
      <c r="AD461" s="61"/>
      <c r="AE461" s="61"/>
      <c r="AF461" s="61"/>
      <c r="AG461" s="61"/>
      <c r="AH461" s="61"/>
      <c r="AI461" s="61"/>
      <c r="AJ461" s="61"/>
      <c r="AK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2"/>
      <c r="W462" s="61"/>
      <c r="X462" s="61"/>
      <c r="Y462" s="61"/>
      <c r="Z462" s="61"/>
      <c r="AA462" s="61"/>
      <c r="AB462" s="61"/>
      <c r="AC462" s="61"/>
      <c r="AD462" s="61"/>
      <c r="AE462" s="61"/>
      <c r="AF462" s="61"/>
      <c r="AG462" s="61"/>
      <c r="AH462" s="61"/>
      <c r="AI462" s="61"/>
      <c r="AJ462" s="61"/>
      <c r="AK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2"/>
      <c r="W463" s="61"/>
      <c r="X463" s="61"/>
      <c r="Y463" s="61"/>
      <c r="Z463" s="61"/>
      <c r="AA463" s="61"/>
      <c r="AB463" s="61"/>
      <c r="AC463" s="61"/>
      <c r="AD463" s="61"/>
      <c r="AE463" s="61"/>
      <c r="AF463" s="61"/>
      <c r="AG463" s="61"/>
      <c r="AH463" s="61"/>
      <c r="AI463" s="61"/>
      <c r="AJ463" s="61"/>
      <c r="AK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2"/>
      <c r="W464" s="61"/>
      <c r="X464" s="61"/>
      <c r="Y464" s="61"/>
      <c r="Z464" s="61"/>
      <c r="AA464" s="61"/>
      <c r="AB464" s="61"/>
      <c r="AC464" s="61"/>
      <c r="AD464" s="61"/>
      <c r="AE464" s="61"/>
      <c r="AF464" s="61"/>
      <c r="AG464" s="61"/>
      <c r="AH464" s="61"/>
      <c r="AI464" s="61"/>
      <c r="AJ464" s="61"/>
      <c r="AK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2"/>
      <c r="W465" s="61"/>
      <c r="X465" s="61"/>
      <c r="Y465" s="61"/>
      <c r="Z465" s="61"/>
      <c r="AA465" s="61"/>
      <c r="AB465" s="61"/>
      <c r="AC465" s="61"/>
      <c r="AD465" s="61"/>
      <c r="AE465" s="61"/>
      <c r="AF465" s="61"/>
      <c r="AG465" s="61"/>
      <c r="AH465" s="61"/>
      <c r="AI465" s="61"/>
      <c r="AJ465" s="61"/>
      <c r="AK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2"/>
      <c r="W466" s="61"/>
      <c r="X466" s="61"/>
      <c r="Y466" s="61"/>
      <c r="Z466" s="61"/>
      <c r="AA466" s="61"/>
      <c r="AB466" s="61"/>
      <c r="AC466" s="61"/>
      <c r="AD466" s="61"/>
      <c r="AE466" s="61"/>
      <c r="AF466" s="61"/>
      <c r="AG466" s="61"/>
      <c r="AH466" s="61"/>
      <c r="AI466" s="61"/>
      <c r="AJ466" s="61"/>
      <c r="AK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2"/>
      <c r="W467" s="61"/>
      <c r="X467" s="61"/>
      <c r="Y467" s="61"/>
      <c r="Z467" s="61"/>
      <c r="AA467" s="61"/>
      <c r="AB467" s="61"/>
      <c r="AC467" s="61"/>
      <c r="AD467" s="61"/>
      <c r="AE467" s="61"/>
      <c r="AF467" s="61"/>
      <c r="AG467" s="61"/>
      <c r="AH467" s="61"/>
      <c r="AI467" s="61"/>
      <c r="AJ467" s="61"/>
      <c r="AK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2"/>
      <c r="W468" s="61"/>
      <c r="X468" s="61"/>
      <c r="Y468" s="61"/>
      <c r="Z468" s="61"/>
      <c r="AA468" s="61"/>
      <c r="AB468" s="61"/>
      <c r="AC468" s="61"/>
      <c r="AD468" s="61"/>
      <c r="AE468" s="61"/>
      <c r="AF468" s="61"/>
      <c r="AG468" s="61"/>
      <c r="AH468" s="61"/>
      <c r="AI468" s="61"/>
      <c r="AJ468" s="61"/>
      <c r="AK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2"/>
      <c r="W469" s="61"/>
      <c r="X469" s="61"/>
      <c r="Y469" s="61"/>
      <c r="Z469" s="61"/>
      <c r="AA469" s="61"/>
      <c r="AB469" s="61"/>
      <c r="AC469" s="61"/>
      <c r="AD469" s="61"/>
      <c r="AE469" s="61"/>
      <c r="AF469" s="61"/>
      <c r="AG469" s="61"/>
      <c r="AH469" s="61"/>
      <c r="AI469" s="61"/>
      <c r="AJ469" s="61"/>
      <c r="AK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2"/>
      <c r="W470" s="61"/>
      <c r="X470" s="61"/>
      <c r="Y470" s="61"/>
      <c r="Z470" s="61"/>
      <c r="AA470" s="61"/>
      <c r="AB470" s="61"/>
      <c r="AC470" s="61"/>
      <c r="AD470" s="61"/>
      <c r="AE470" s="61"/>
      <c r="AF470" s="61"/>
      <c r="AG470" s="61"/>
      <c r="AH470" s="61"/>
      <c r="AI470" s="61"/>
      <c r="AJ470" s="61"/>
      <c r="AK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2"/>
      <c r="W471" s="61"/>
      <c r="X471" s="61"/>
      <c r="Y471" s="61"/>
      <c r="Z471" s="61"/>
      <c r="AA471" s="61"/>
      <c r="AB471" s="61"/>
      <c r="AC471" s="61"/>
      <c r="AD471" s="61"/>
      <c r="AE471" s="61"/>
      <c r="AF471" s="61"/>
      <c r="AG471" s="61"/>
      <c r="AH471" s="61"/>
      <c r="AI471" s="61"/>
      <c r="AJ471" s="61"/>
      <c r="AK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2"/>
      <c r="W472" s="61"/>
      <c r="X472" s="61"/>
      <c r="Y472" s="61"/>
      <c r="Z472" s="61"/>
      <c r="AA472" s="61"/>
      <c r="AB472" s="61"/>
      <c r="AC472" s="61"/>
      <c r="AD472" s="61"/>
      <c r="AE472" s="61"/>
      <c r="AF472" s="61"/>
      <c r="AG472" s="61"/>
      <c r="AH472" s="61"/>
      <c r="AI472" s="61"/>
      <c r="AJ472" s="61"/>
      <c r="AK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2"/>
      <c r="W473" s="61"/>
      <c r="X473" s="61"/>
      <c r="Y473" s="61"/>
      <c r="Z473" s="61"/>
      <c r="AA473" s="61"/>
      <c r="AB473" s="61"/>
      <c r="AC473" s="61"/>
      <c r="AD473" s="61"/>
      <c r="AE473" s="61"/>
      <c r="AF473" s="61"/>
      <c r="AG473" s="61"/>
      <c r="AH473" s="61"/>
      <c r="AI473" s="61"/>
      <c r="AJ473" s="61"/>
      <c r="AK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2"/>
      <c r="W474" s="61"/>
      <c r="X474" s="61"/>
      <c r="Y474" s="61"/>
      <c r="Z474" s="61"/>
      <c r="AA474" s="61"/>
      <c r="AB474" s="61"/>
      <c r="AC474" s="61"/>
      <c r="AD474" s="61"/>
      <c r="AE474" s="61"/>
      <c r="AF474" s="61"/>
      <c r="AG474" s="61"/>
      <c r="AH474" s="61"/>
      <c r="AI474" s="61"/>
      <c r="AJ474" s="61"/>
      <c r="AK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2"/>
      <c r="W475" s="61"/>
      <c r="X475" s="61"/>
      <c r="Y475" s="61"/>
      <c r="Z475" s="61"/>
      <c r="AA475" s="61"/>
      <c r="AB475" s="61"/>
      <c r="AC475" s="61"/>
      <c r="AD475" s="61"/>
      <c r="AE475" s="61"/>
      <c r="AF475" s="61"/>
      <c r="AG475" s="61"/>
      <c r="AH475" s="61"/>
      <c r="AI475" s="61"/>
      <c r="AJ475" s="61"/>
      <c r="AK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2"/>
      <c r="W476" s="61"/>
      <c r="X476" s="61"/>
      <c r="Y476" s="61"/>
      <c r="Z476" s="61"/>
      <c r="AA476" s="61"/>
      <c r="AB476" s="61"/>
      <c r="AC476" s="61"/>
      <c r="AD476" s="61"/>
      <c r="AE476" s="61"/>
      <c r="AF476" s="61"/>
      <c r="AG476" s="61"/>
      <c r="AH476" s="61"/>
      <c r="AI476" s="61"/>
      <c r="AJ476" s="61"/>
      <c r="AK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2"/>
      <c r="W477" s="61"/>
      <c r="X477" s="61"/>
      <c r="Y477" s="61"/>
      <c r="Z477" s="61"/>
      <c r="AA477" s="61"/>
      <c r="AB477" s="61"/>
      <c r="AC477" s="61"/>
      <c r="AD477" s="61"/>
      <c r="AE477" s="61"/>
      <c r="AF477" s="61"/>
      <c r="AG477" s="61"/>
      <c r="AH477" s="61"/>
      <c r="AI477" s="61"/>
      <c r="AJ477" s="61"/>
      <c r="AK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2"/>
      <c r="W478" s="61"/>
      <c r="X478" s="61"/>
      <c r="Y478" s="61"/>
      <c r="Z478" s="61"/>
      <c r="AA478" s="61"/>
      <c r="AB478" s="61"/>
      <c r="AC478" s="61"/>
      <c r="AD478" s="61"/>
      <c r="AE478" s="61"/>
      <c r="AF478" s="61"/>
      <c r="AG478" s="61"/>
      <c r="AH478" s="61"/>
      <c r="AI478" s="61"/>
      <c r="AJ478" s="61"/>
      <c r="AK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2"/>
      <c r="W479" s="61"/>
      <c r="X479" s="61"/>
      <c r="Y479" s="61"/>
      <c r="Z479" s="61"/>
      <c r="AA479" s="61"/>
      <c r="AB479" s="61"/>
      <c r="AC479" s="61"/>
      <c r="AD479" s="61"/>
      <c r="AE479" s="61"/>
      <c r="AF479" s="61"/>
      <c r="AG479" s="61"/>
      <c r="AH479" s="61"/>
      <c r="AI479" s="61"/>
      <c r="AJ479" s="61"/>
      <c r="AK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2"/>
      <c r="W480" s="61"/>
      <c r="X480" s="61"/>
      <c r="Y480" s="61"/>
      <c r="Z480" s="61"/>
      <c r="AA480" s="61"/>
      <c r="AB480" s="61"/>
      <c r="AC480" s="61"/>
      <c r="AD480" s="61"/>
      <c r="AE480" s="61"/>
      <c r="AF480" s="61"/>
      <c r="AG480" s="61"/>
      <c r="AH480" s="61"/>
      <c r="AI480" s="61"/>
      <c r="AJ480" s="61"/>
      <c r="AK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2"/>
      <c r="W481" s="61"/>
      <c r="X481" s="61"/>
      <c r="Y481" s="61"/>
      <c r="Z481" s="61"/>
      <c r="AA481" s="61"/>
      <c r="AB481" s="61"/>
      <c r="AC481" s="61"/>
      <c r="AD481" s="61"/>
      <c r="AE481" s="61"/>
      <c r="AF481" s="61"/>
      <c r="AG481" s="61"/>
      <c r="AH481" s="61"/>
      <c r="AI481" s="61"/>
      <c r="AJ481" s="61"/>
      <c r="AK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2"/>
      <c r="W482" s="61"/>
      <c r="X482" s="61"/>
      <c r="Y482" s="61"/>
      <c r="Z482" s="61"/>
      <c r="AA482" s="61"/>
      <c r="AB482" s="61"/>
      <c r="AC482" s="61"/>
      <c r="AD482" s="61"/>
      <c r="AE482" s="61"/>
      <c r="AF482" s="61"/>
      <c r="AG482" s="61"/>
      <c r="AH482" s="61"/>
      <c r="AI482" s="61"/>
      <c r="AJ482" s="61"/>
      <c r="AK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2"/>
      <c r="W483" s="61"/>
      <c r="X483" s="61"/>
      <c r="Y483" s="61"/>
      <c r="Z483" s="61"/>
      <c r="AA483" s="61"/>
      <c r="AB483" s="61"/>
      <c r="AC483" s="61"/>
      <c r="AD483" s="61"/>
      <c r="AE483" s="61"/>
      <c r="AF483" s="61"/>
      <c r="AG483" s="61"/>
      <c r="AH483" s="61"/>
      <c r="AI483" s="61"/>
      <c r="AJ483" s="61"/>
      <c r="AK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2"/>
      <c r="W484" s="61"/>
      <c r="X484" s="61"/>
      <c r="Y484" s="61"/>
      <c r="Z484" s="61"/>
      <c r="AA484" s="61"/>
      <c r="AB484" s="61"/>
      <c r="AC484" s="61"/>
      <c r="AD484" s="61"/>
      <c r="AE484" s="61"/>
      <c r="AF484" s="61"/>
      <c r="AG484" s="61"/>
      <c r="AH484" s="61"/>
      <c r="AI484" s="61"/>
      <c r="AJ484" s="61"/>
      <c r="AK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2"/>
      <c r="W485" s="61"/>
      <c r="X485" s="61"/>
      <c r="Y485" s="61"/>
      <c r="Z485" s="61"/>
      <c r="AA485" s="61"/>
      <c r="AB485" s="61"/>
      <c r="AC485" s="61"/>
      <c r="AD485" s="61"/>
      <c r="AE485" s="61"/>
      <c r="AF485" s="61"/>
      <c r="AG485" s="61"/>
      <c r="AH485" s="61"/>
      <c r="AI485" s="61"/>
      <c r="AJ485" s="61"/>
      <c r="AK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2"/>
      <c r="W486" s="61"/>
      <c r="X486" s="61"/>
      <c r="Y486" s="61"/>
      <c r="Z486" s="61"/>
      <c r="AA486" s="61"/>
      <c r="AB486" s="61"/>
      <c r="AC486" s="61"/>
      <c r="AD486" s="61"/>
      <c r="AE486" s="61"/>
      <c r="AF486" s="61"/>
      <c r="AG486" s="61"/>
      <c r="AH486" s="61"/>
      <c r="AI486" s="61"/>
      <c r="AJ486" s="61"/>
      <c r="AK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2"/>
      <c r="W487" s="61"/>
      <c r="X487" s="61"/>
      <c r="Y487" s="61"/>
      <c r="Z487" s="61"/>
      <c r="AA487" s="61"/>
      <c r="AB487" s="61"/>
      <c r="AC487" s="61"/>
      <c r="AD487" s="61"/>
      <c r="AE487" s="61"/>
      <c r="AF487" s="61"/>
      <c r="AG487" s="61"/>
      <c r="AH487" s="61"/>
      <c r="AI487" s="61"/>
      <c r="AJ487" s="61"/>
      <c r="AK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2"/>
      <c r="W488" s="61"/>
      <c r="X488" s="61"/>
      <c r="Y488" s="61"/>
      <c r="Z488" s="61"/>
      <c r="AA488" s="61"/>
      <c r="AB488" s="61"/>
      <c r="AC488" s="61"/>
      <c r="AD488" s="61"/>
      <c r="AE488" s="61"/>
      <c r="AF488" s="61"/>
      <c r="AG488" s="61"/>
      <c r="AH488" s="61"/>
      <c r="AI488" s="61"/>
      <c r="AJ488" s="61"/>
      <c r="AK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2"/>
      <c r="W489" s="61"/>
      <c r="X489" s="61"/>
      <c r="Y489" s="61"/>
      <c r="Z489" s="61"/>
      <c r="AA489" s="61"/>
      <c r="AB489" s="61"/>
      <c r="AC489" s="61"/>
      <c r="AD489" s="61"/>
      <c r="AE489" s="61"/>
      <c r="AF489" s="61"/>
      <c r="AG489" s="61"/>
      <c r="AH489" s="61"/>
      <c r="AI489" s="61"/>
      <c r="AJ489" s="61"/>
      <c r="AK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2"/>
      <c r="W490" s="61"/>
      <c r="X490" s="61"/>
      <c r="Y490" s="61"/>
      <c r="Z490" s="61"/>
      <c r="AA490" s="61"/>
      <c r="AB490" s="61"/>
      <c r="AC490" s="61"/>
      <c r="AD490" s="61"/>
      <c r="AE490" s="61"/>
      <c r="AF490" s="61"/>
      <c r="AG490" s="61"/>
      <c r="AH490" s="61"/>
      <c r="AI490" s="61"/>
      <c r="AJ490" s="61"/>
      <c r="AK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2"/>
      <c r="W491" s="61"/>
      <c r="X491" s="61"/>
      <c r="Y491" s="61"/>
      <c r="Z491" s="61"/>
      <c r="AA491" s="61"/>
      <c r="AB491" s="61"/>
      <c r="AC491" s="61"/>
      <c r="AD491" s="61"/>
      <c r="AE491" s="61"/>
      <c r="AF491" s="61"/>
      <c r="AG491" s="61"/>
      <c r="AH491" s="61"/>
      <c r="AI491" s="61"/>
      <c r="AJ491" s="61"/>
      <c r="AK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2"/>
      <c r="W492" s="61"/>
      <c r="X492" s="61"/>
      <c r="Y492" s="61"/>
      <c r="Z492" s="61"/>
      <c r="AA492" s="61"/>
      <c r="AB492" s="61"/>
      <c r="AC492" s="61"/>
      <c r="AD492" s="61"/>
      <c r="AE492" s="61"/>
      <c r="AF492" s="61"/>
      <c r="AG492" s="61"/>
      <c r="AH492" s="61"/>
      <c r="AI492" s="61"/>
      <c r="AJ492" s="61"/>
      <c r="AK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2"/>
      <c r="W493" s="61"/>
      <c r="X493" s="61"/>
      <c r="Y493" s="61"/>
      <c r="Z493" s="61"/>
      <c r="AA493" s="61"/>
      <c r="AB493" s="61"/>
      <c r="AC493" s="61"/>
      <c r="AD493" s="61"/>
      <c r="AE493" s="61"/>
      <c r="AF493" s="61"/>
      <c r="AG493" s="61"/>
      <c r="AH493" s="61"/>
      <c r="AI493" s="61"/>
      <c r="AJ493" s="61"/>
      <c r="AK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2"/>
      <c r="W494" s="61"/>
      <c r="X494" s="61"/>
      <c r="Y494" s="61"/>
      <c r="Z494" s="61"/>
      <c r="AA494" s="61"/>
      <c r="AB494" s="61"/>
      <c r="AC494" s="61"/>
      <c r="AD494" s="61"/>
      <c r="AE494" s="61"/>
      <c r="AF494" s="61"/>
      <c r="AG494" s="61"/>
      <c r="AH494" s="61"/>
      <c r="AI494" s="61"/>
      <c r="AJ494" s="61"/>
      <c r="AK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2"/>
      <c r="W495" s="61"/>
      <c r="X495" s="61"/>
      <c r="Y495" s="61"/>
      <c r="Z495" s="61"/>
      <c r="AA495" s="61"/>
      <c r="AB495" s="61"/>
      <c r="AC495" s="61"/>
      <c r="AD495" s="61"/>
      <c r="AE495" s="61"/>
      <c r="AF495" s="61"/>
      <c r="AG495" s="61"/>
      <c r="AH495" s="61"/>
      <c r="AI495" s="61"/>
      <c r="AJ495" s="61"/>
      <c r="AK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2"/>
      <c r="W496" s="61"/>
      <c r="X496" s="61"/>
      <c r="Y496" s="61"/>
      <c r="Z496" s="61"/>
      <c r="AA496" s="61"/>
      <c r="AB496" s="61"/>
      <c r="AC496" s="61"/>
      <c r="AD496" s="61"/>
      <c r="AE496" s="61"/>
      <c r="AF496" s="61"/>
      <c r="AG496" s="61"/>
      <c r="AH496" s="61"/>
      <c r="AI496" s="61"/>
      <c r="AJ496" s="61"/>
      <c r="AK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2"/>
      <c r="W497" s="61"/>
      <c r="X497" s="61"/>
      <c r="Y497" s="61"/>
      <c r="Z497" s="61"/>
      <c r="AA497" s="61"/>
      <c r="AB497" s="61"/>
      <c r="AC497" s="61"/>
      <c r="AD497" s="61"/>
      <c r="AE497" s="61"/>
      <c r="AF497" s="61"/>
      <c r="AG497" s="61"/>
      <c r="AH497" s="61"/>
      <c r="AI497" s="61"/>
      <c r="AJ497" s="61"/>
      <c r="AK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2"/>
      <c r="W498" s="61"/>
      <c r="X498" s="61"/>
      <c r="Y498" s="61"/>
      <c r="Z498" s="61"/>
      <c r="AA498" s="61"/>
      <c r="AB498" s="61"/>
      <c r="AC498" s="61"/>
      <c r="AD498" s="61"/>
      <c r="AE498" s="61"/>
      <c r="AF498" s="61"/>
      <c r="AG498" s="61"/>
      <c r="AH498" s="61"/>
      <c r="AI498" s="61"/>
      <c r="AJ498" s="61"/>
      <c r="AK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2"/>
      <c r="W499" s="61"/>
      <c r="X499" s="61"/>
      <c r="Y499" s="61"/>
      <c r="Z499" s="61"/>
      <c r="AA499" s="61"/>
      <c r="AB499" s="61"/>
      <c r="AC499" s="61"/>
      <c r="AD499" s="61"/>
      <c r="AE499" s="61"/>
      <c r="AF499" s="61"/>
      <c r="AG499" s="61"/>
      <c r="AH499" s="61"/>
      <c r="AI499" s="61"/>
      <c r="AJ499" s="61"/>
      <c r="AK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2"/>
      <c r="W500" s="61"/>
      <c r="X500" s="61"/>
      <c r="Y500" s="61"/>
      <c r="Z500" s="61"/>
      <c r="AA500" s="61"/>
      <c r="AB500" s="61"/>
      <c r="AC500" s="61"/>
      <c r="AD500" s="61"/>
      <c r="AE500" s="61"/>
      <c r="AF500" s="61"/>
      <c r="AG500" s="61"/>
      <c r="AH500" s="61"/>
      <c r="AI500" s="61"/>
      <c r="AJ500" s="61"/>
      <c r="AK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2"/>
      <c r="W501" s="61"/>
      <c r="X501" s="61"/>
      <c r="Y501" s="61"/>
      <c r="Z501" s="61"/>
      <c r="AA501" s="61"/>
      <c r="AB501" s="61"/>
      <c r="AC501" s="61"/>
      <c r="AD501" s="61"/>
      <c r="AE501" s="61"/>
      <c r="AF501" s="61"/>
      <c r="AG501" s="61"/>
      <c r="AH501" s="61"/>
      <c r="AI501" s="61"/>
      <c r="AJ501" s="61"/>
      <c r="AK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2"/>
      <c r="W502" s="61"/>
      <c r="X502" s="61"/>
      <c r="Y502" s="61"/>
      <c r="Z502" s="61"/>
      <c r="AA502" s="61"/>
      <c r="AB502" s="61"/>
      <c r="AC502" s="61"/>
      <c r="AD502" s="61"/>
      <c r="AE502" s="61"/>
      <c r="AF502" s="61"/>
      <c r="AG502" s="61"/>
      <c r="AH502" s="61"/>
      <c r="AI502" s="61"/>
      <c r="AJ502" s="61"/>
      <c r="AK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2"/>
      <c r="W503" s="61"/>
      <c r="X503" s="61"/>
      <c r="Y503" s="61"/>
      <c r="Z503" s="61"/>
      <c r="AA503" s="61"/>
      <c r="AB503" s="61"/>
      <c r="AC503" s="61"/>
      <c r="AD503" s="61"/>
      <c r="AE503" s="61"/>
      <c r="AF503" s="61"/>
      <c r="AG503" s="61"/>
      <c r="AH503" s="61"/>
      <c r="AI503" s="61"/>
      <c r="AJ503" s="61"/>
      <c r="AK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2"/>
      <c r="W504" s="61"/>
      <c r="X504" s="61"/>
      <c r="Y504" s="61"/>
      <c r="Z504" s="61"/>
      <c r="AA504" s="61"/>
      <c r="AB504" s="61"/>
      <c r="AC504" s="61"/>
      <c r="AD504" s="61"/>
      <c r="AE504" s="61"/>
      <c r="AF504" s="61"/>
      <c r="AG504" s="61"/>
      <c r="AH504" s="61"/>
      <c r="AI504" s="61"/>
      <c r="AJ504" s="61"/>
      <c r="AK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2"/>
      <c r="W505" s="61"/>
      <c r="X505" s="61"/>
      <c r="Y505" s="61"/>
      <c r="Z505" s="61"/>
      <c r="AA505" s="61"/>
      <c r="AB505" s="61"/>
      <c r="AC505" s="61"/>
      <c r="AD505" s="61"/>
      <c r="AE505" s="61"/>
      <c r="AF505" s="61"/>
      <c r="AG505" s="61"/>
      <c r="AH505" s="61"/>
      <c r="AI505" s="61"/>
      <c r="AJ505" s="61"/>
      <c r="AK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2"/>
      <c r="W506" s="61"/>
      <c r="X506" s="61"/>
      <c r="Y506" s="61"/>
      <c r="Z506" s="61"/>
      <c r="AA506" s="61"/>
      <c r="AB506" s="61"/>
      <c r="AC506" s="61"/>
      <c r="AD506" s="61"/>
      <c r="AE506" s="61"/>
      <c r="AF506" s="61"/>
      <c r="AG506" s="61"/>
      <c r="AH506" s="61"/>
      <c r="AI506" s="61"/>
      <c r="AJ506" s="61"/>
      <c r="AK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2"/>
      <c r="W507" s="61"/>
      <c r="X507" s="61"/>
      <c r="Y507" s="61"/>
      <c r="Z507" s="61"/>
      <c r="AA507" s="61"/>
      <c r="AB507" s="61"/>
      <c r="AC507" s="61"/>
      <c r="AD507" s="61"/>
      <c r="AE507" s="61"/>
      <c r="AF507" s="61"/>
      <c r="AG507" s="61"/>
      <c r="AH507" s="61"/>
      <c r="AI507" s="61"/>
      <c r="AJ507" s="61"/>
      <c r="AK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2"/>
      <c r="W508" s="61"/>
      <c r="X508" s="61"/>
      <c r="Y508" s="61"/>
      <c r="Z508" s="61"/>
      <c r="AA508" s="61"/>
      <c r="AB508" s="61"/>
      <c r="AC508" s="61"/>
      <c r="AD508" s="61"/>
      <c r="AE508" s="61"/>
      <c r="AF508" s="61"/>
      <c r="AG508" s="61"/>
      <c r="AH508" s="61"/>
      <c r="AI508" s="61"/>
      <c r="AJ508" s="61"/>
      <c r="AK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2"/>
      <c r="W509" s="61"/>
      <c r="X509" s="61"/>
      <c r="Y509" s="61"/>
      <c r="Z509" s="61"/>
      <c r="AA509" s="61"/>
      <c r="AB509" s="61"/>
      <c r="AC509" s="61"/>
      <c r="AD509" s="61"/>
      <c r="AE509" s="61"/>
      <c r="AF509" s="61"/>
      <c r="AG509" s="61"/>
      <c r="AH509" s="61"/>
      <c r="AI509" s="61"/>
      <c r="AJ509" s="61"/>
      <c r="AK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2"/>
      <c r="W510" s="61"/>
      <c r="X510" s="61"/>
      <c r="Y510" s="61"/>
      <c r="Z510" s="61"/>
      <c r="AA510" s="61"/>
      <c r="AB510" s="61"/>
      <c r="AC510" s="61"/>
      <c r="AD510" s="61"/>
      <c r="AE510" s="61"/>
      <c r="AF510" s="61"/>
      <c r="AG510" s="61"/>
      <c r="AH510" s="61"/>
      <c r="AI510" s="61"/>
      <c r="AJ510" s="61"/>
      <c r="AK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2"/>
      <c r="W511" s="61"/>
      <c r="X511" s="61"/>
      <c r="Y511" s="61"/>
      <c r="Z511" s="61"/>
      <c r="AA511" s="61"/>
      <c r="AB511" s="61"/>
      <c r="AC511" s="61"/>
      <c r="AD511" s="61"/>
      <c r="AE511" s="61"/>
      <c r="AF511" s="61"/>
      <c r="AG511" s="61"/>
      <c r="AH511" s="61"/>
      <c r="AI511" s="61"/>
      <c r="AJ511" s="61"/>
      <c r="AK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2"/>
      <c r="W512" s="61"/>
      <c r="X512" s="61"/>
      <c r="Y512" s="61"/>
      <c r="Z512" s="61"/>
      <c r="AA512" s="61"/>
      <c r="AB512" s="61"/>
      <c r="AC512" s="61"/>
      <c r="AD512" s="61"/>
      <c r="AE512" s="61"/>
      <c r="AF512" s="61"/>
      <c r="AG512" s="61"/>
      <c r="AH512" s="61"/>
      <c r="AI512" s="61"/>
      <c r="AJ512" s="61"/>
      <c r="AK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2"/>
      <c r="W513" s="61"/>
      <c r="X513" s="61"/>
      <c r="Y513" s="61"/>
      <c r="Z513" s="61"/>
      <c r="AA513" s="61"/>
      <c r="AB513" s="61"/>
      <c r="AC513" s="61"/>
      <c r="AD513" s="61"/>
      <c r="AE513" s="61"/>
      <c r="AF513" s="61"/>
      <c r="AG513" s="61"/>
      <c r="AH513" s="61"/>
      <c r="AI513" s="61"/>
      <c r="AJ513" s="61"/>
      <c r="AK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2"/>
      <c r="W514" s="61"/>
      <c r="X514" s="61"/>
      <c r="Y514" s="61"/>
      <c r="Z514" s="61"/>
      <c r="AA514" s="61"/>
      <c r="AB514" s="61"/>
      <c r="AC514" s="61"/>
      <c r="AD514" s="61"/>
      <c r="AE514" s="61"/>
      <c r="AF514" s="61"/>
      <c r="AG514" s="61"/>
      <c r="AH514" s="61"/>
      <c r="AI514" s="61"/>
      <c r="AJ514" s="61"/>
      <c r="AK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2"/>
      <c r="W515" s="61"/>
      <c r="X515" s="61"/>
      <c r="Y515" s="61"/>
      <c r="Z515" s="61"/>
      <c r="AA515" s="61"/>
      <c r="AB515" s="61"/>
      <c r="AC515" s="61"/>
      <c r="AD515" s="61"/>
      <c r="AE515" s="61"/>
      <c r="AF515" s="61"/>
      <c r="AG515" s="61"/>
      <c r="AH515" s="61"/>
      <c r="AI515" s="61"/>
      <c r="AJ515" s="61"/>
      <c r="AK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2"/>
      <c r="W516" s="61"/>
      <c r="X516" s="61"/>
      <c r="Y516" s="61"/>
      <c r="Z516" s="61"/>
      <c r="AA516" s="61"/>
      <c r="AB516" s="61"/>
      <c r="AC516" s="61"/>
      <c r="AD516" s="61"/>
      <c r="AE516" s="61"/>
      <c r="AF516" s="61"/>
      <c r="AG516" s="61"/>
      <c r="AH516" s="61"/>
      <c r="AI516" s="61"/>
      <c r="AJ516" s="61"/>
      <c r="AK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2"/>
      <c r="W517" s="61"/>
      <c r="X517" s="61"/>
      <c r="Y517" s="61"/>
      <c r="Z517" s="61"/>
      <c r="AA517" s="61"/>
      <c r="AB517" s="61"/>
      <c r="AC517" s="61"/>
      <c r="AD517" s="61"/>
      <c r="AE517" s="61"/>
      <c r="AF517" s="61"/>
      <c r="AG517" s="61"/>
      <c r="AH517" s="61"/>
      <c r="AI517" s="61"/>
      <c r="AJ517" s="61"/>
      <c r="AK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2"/>
      <c r="W518" s="61"/>
      <c r="X518" s="61"/>
      <c r="Y518" s="61"/>
      <c r="Z518" s="61"/>
      <c r="AA518" s="61"/>
      <c r="AB518" s="61"/>
      <c r="AC518" s="61"/>
      <c r="AD518" s="61"/>
      <c r="AE518" s="61"/>
      <c r="AF518" s="61"/>
      <c r="AG518" s="61"/>
      <c r="AH518" s="61"/>
      <c r="AI518" s="61"/>
      <c r="AJ518" s="61"/>
      <c r="AK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2"/>
      <c r="W519" s="61"/>
      <c r="X519" s="61"/>
      <c r="Y519" s="61"/>
      <c r="Z519" s="61"/>
      <c r="AA519" s="61"/>
      <c r="AB519" s="61"/>
      <c r="AC519" s="61"/>
      <c r="AD519" s="61"/>
      <c r="AE519" s="61"/>
      <c r="AF519" s="61"/>
      <c r="AG519" s="61"/>
      <c r="AH519" s="61"/>
      <c r="AI519" s="61"/>
      <c r="AJ519" s="61"/>
      <c r="AK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2"/>
      <c r="W520" s="61"/>
      <c r="X520" s="61"/>
      <c r="Y520" s="61"/>
      <c r="Z520" s="61"/>
      <c r="AA520" s="61"/>
      <c r="AB520" s="61"/>
      <c r="AC520" s="61"/>
      <c r="AD520" s="61"/>
      <c r="AE520" s="61"/>
      <c r="AF520" s="61"/>
      <c r="AG520" s="61"/>
      <c r="AH520" s="61"/>
      <c r="AI520" s="61"/>
      <c r="AJ520" s="61"/>
      <c r="AK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2"/>
      <c r="W521" s="61"/>
      <c r="X521" s="61"/>
      <c r="Y521" s="61"/>
      <c r="Z521" s="61"/>
      <c r="AA521" s="61"/>
      <c r="AB521" s="61"/>
      <c r="AC521" s="61"/>
      <c r="AD521" s="61"/>
      <c r="AE521" s="61"/>
      <c r="AF521" s="61"/>
      <c r="AG521" s="61"/>
      <c r="AH521" s="61"/>
      <c r="AI521" s="61"/>
      <c r="AJ521" s="61"/>
      <c r="AK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2"/>
      <c r="W522" s="61"/>
      <c r="X522" s="61"/>
      <c r="Y522" s="61"/>
      <c r="Z522" s="61"/>
      <c r="AA522" s="61"/>
      <c r="AB522" s="61"/>
      <c r="AC522" s="61"/>
      <c r="AD522" s="61"/>
      <c r="AE522" s="61"/>
      <c r="AF522" s="61"/>
      <c r="AG522" s="61"/>
      <c r="AH522" s="61"/>
      <c r="AI522" s="61"/>
      <c r="AJ522" s="61"/>
      <c r="AK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2"/>
      <c r="W523" s="61"/>
      <c r="X523" s="61"/>
      <c r="Y523" s="61"/>
      <c r="Z523" s="61"/>
      <c r="AA523" s="61"/>
      <c r="AB523" s="61"/>
      <c r="AC523" s="61"/>
      <c r="AD523" s="61"/>
      <c r="AE523" s="61"/>
      <c r="AF523" s="61"/>
      <c r="AG523" s="61"/>
      <c r="AH523" s="61"/>
      <c r="AI523" s="61"/>
      <c r="AJ523" s="61"/>
      <c r="AK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2"/>
      <c r="W524" s="61"/>
      <c r="X524" s="61"/>
      <c r="Y524" s="61"/>
      <c r="Z524" s="61"/>
      <c r="AA524" s="61"/>
      <c r="AB524" s="61"/>
      <c r="AC524" s="61"/>
      <c r="AD524" s="61"/>
      <c r="AE524" s="61"/>
      <c r="AF524" s="61"/>
      <c r="AG524" s="61"/>
      <c r="AH524" s="61"/>
      <c r="AI524" s="61"/>
      <c r="AJ524" s="61"/>
      <c r="AK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2"/>
      <c r="W525" s="61"/>
      <c r="X525" s="61"/>
      <c r="Y525" s="61"/>
      <c r="Z525" s="61"/>
      <c r="AA525" s="61"/>
      <c r="AB525" s="61"/>
      <c r="AC525" s="61"/>
      <c r="AD525" s="61"/>
      <c r="AE525" s="61"/>
      <c r="AF525" s="61"/>
      <c r="AG525" s="61"/>
      <c r="AH525" s="61"/>
      <c r="AI525" s="61"/>
      <c r="AJ525" s="61"/>
      <c r="AK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2"/>
      <c r="W526" s="61"/>
      <c r="X526" s="61"/>
      <c r="Y526" s="61"/>
      <c r="Z526" s="61"/>
      <c r="AA526" s="61"/>
      <c r="AB526" s="61"/>
      <c r="AC526" s="61"/>
      <c r="AD526" s="61"/>
      <c r="AE526" s="61"/>
      <c r="AF526" s="61"/>
      <c r="AG526" s="61"/>
      <c r="AH526" s="61"/>
      <c r="AI526" s="61"/>
      <c r="AJ526" s="61"/>
      <c r="AK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2"/>
      <c r="W527" s="61"/>
      <c r="X527" s="61"/>
      <c r="Y527" s="61"/>
      <c r="Z527" s="61"/>
      <c r="AA527" s="61"/>
      <c r="AB527" s="61"/>
      <c r="AC527" s="61"/>
      <c r="AD527" s="61"/>
      <c r="AE527" s="61"/>
      <c r="AF527" s="61"/>
      <c r="AG527" s="61"/>
      <c r="AH527" s="61"/>
      <c r="AI527" s="61"/>
      <c r="AJ527" s="61"/>
      <c r="AK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2"/>
      <c r="W528" s="61"/>
      <c r="X528" s="61"/>
      <c r="Y528" s="61"/>
      <c r="Z528" s="61"/>
      <c r="AA528" s="61"/>
      <c r="AB528" s="61"/>
      <c r="AC528" s="61"/>
      <c r="AD528" s="61"/>
      <c r="AE528" s="61"/>
      <c r="AF528" s="61"/>
      <c r="AG528" s="61"/>
      <c r="AH528" s="61"/>
      <c r="AI528" s="61"/>
      <c r="AJ528" s="61"/>
      <c r="AK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2"/>
      <c r="W529" s="61"/>
      <c r="X529" s="61"/>
      <c r="Y529" s="61"/>
      <c r="Z529" s="61"/>
      <c r="AA529" s="61"/>
      <c r="AB529" s="61"/>
      <c r="AC529" s="61"/>
      <c r="AD529" s="61"/>
      <c r="AE529" s="61"/>
      <c r="AF529" s="61"/>
      <c r="AG529" s="61"/>
      <c r="AH529" s="61"/>
      <c r="AI529" s="61"/>
      <c r="AJ529" s="61"/>
      <c r="AK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2"/>
      <c r="W530" s="61"/>
      <c r="X530" s="61"/>
      <c r="Y530" s="61"/>
      <c r="Z530" s="61"/>
      <c r="AA530" s="61"/>
      <c r="AB530" s="61"/>
      <c r="AC530" s="61"/>
      <c r="AD530" s="61"/>
      <c r="AE530" s="61"/>
      <c r="AF530" s="61"/>
      <c r="AG530" s="61"/>
      <c r="AH530" s="61"/>
      <c r="AI530" s="61"/>
      <c r="AJ530" s="61"/>
      <c r="AK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2"/>
      <c r="W531" s="61"/>
      <c r="X531" s="61"/>
      <c r="Y531" s="61"/>
      <c r="Z531" s="61"/>
      <c r="AA531" s="61"/>
      <c r="AB531" s="61"/>
      <c r="AC531" s="61"/>
      <c r="AD531" s="61"/>
      <c r="AE531" s="61"/>
      <c r="AF531" s="61"/>
      <c r="AG531" s="61"/>
      <c r="AH531" s="61"/>
      <c r="AI531" s="61"/>
      <c r="AJ531" s="61"/>
      <c r="AK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2"/>
      <c r="W532" s="61"/>
      <c r="X532" s="61"/>
      <c r="Y532" s="61"/>
      <c r="Z532" s="61"/>
      <c r="AA532" s="61"/>
      <c r="AB532" s="61"/>
      <c r="AC532" s="61"/>
      <c r="AD532" s="61"/>
      <c r="AE532" s="61"/>
      <c r="AF532" s="61"/>
      <c r="AG532" s="61"/>
      <c r="AH532" s="61"/>
      <c r="AI532" s="61"/>
      <c r="AJ532" s="61"/>
      <c r="AK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2"/>
      <c r="W533" s="61"/>
      <c r="X533" s="61"/>
      <c r="Y533" s="61"/>
      <c r="Z533" s="61"/>
      <c r="AA533" s="61"/>
      <c r="AB533" s="61"/>
      <c r="AC533" s="61"/>
      <c r="AD533" s="61"/>
      <c r="AE533" s="61"/>
      <c r="AF533" s="61"/>
      <c r="AG533" s="61"/>
      <c r="AH533" s="61"/>
      <c r="AI533" s="61"/>
      <c r="AJ533" s="61"/>
      <c r="AK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2"/>
      <c r="W534" s="61"/>
      <c r="X534" s="61"/>
      <c r="Y534" s="61"/>
      <c r="Z534" s="61"/>
      <c r="AA534" s="61"/>
      <c r="AB534" s="61"/>
      <c r="AC534" s="61"/>
      <c r="AD534" s="61"/>
      <c r="AE534" s="61"/>
      <c r="AF534" s="61"/>
      <c r="AG534" s="61"/>
      <c r="AH534" s="61"/>
      <c r="AI534" s="61"/>
      <c r="AJ534" s="61"/>
      <c r="AK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2"/>
      <c r="W535" s="61"/>
      <c r="X535" s="61"/>
      <c r="Y535" s="61"/>
      <c r="Z535" s="61"/>
      <c r="AA535" s="61"/>
      <c r="AB535" s="61"/>
      <c r="AC535" s="61"/>
      <c r="AD535" s="61"/>
      <c r="AE535" s="61"/>
      <c r="AF535" s="61"/>
      <c r="AG535" s="61"/>
      <c r="AH535" s="61"/>
      <c r="AI535" s="61"/>
      <c r="AJ535" s="61"/>
      <c r="AK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2"/>
      <c r="W536" s="61"/>
      <c r="X536" s="61"/>
      <c r="Y536" s="61"/>
      <c r="Z536" s="61"/>
      <c r="AA536" s="61"/>
      <c r="AB536" s="61"/>
      <c r="AC536" s="61"/>
      <c r="AD536" s="61"/>
      <c r="AE536" s="61"/>
      <c r="AF536" s="61"/>
      <c r="AG536" s="61"/>
      <c r="AH536" s="61"/>
      <c r="AI536" s="61"/>
      <c r="AJ536" s="61"/>
      <c r="AK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2"/>
      <c r="W537" s="61"/>
      <c r="X537" s="61"/>
      <c r="Y537" s="61"/>
      <c r="Z537" s="61"/>
      <c r="AA537" s="61"/>
      <c r="AB537" s="61"/>
      <c r="AC537" s="61"/>
      <c r="AD537" s="61"/>
      <c r="AE537" s="61"/>
      <c r="AF537" s="61"/>
      <c r="AG537" s="61"/>
      <c r="AH537" s="61"/>
      <c r="AI537" s="61"/>
      <c r="AJ537" s="61"/>
      <c r="AK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2"/>
      <c r="W538" s="61"/>
      <c r="X538" s="61"/>
      <c r="Y538" s="61"/>
      <c r="Z538" s="61"/>
      <c r="AA538" s="61"/>
      <c r="AB538" s="61"/>
      <c r="AC538" s="61"/>
      <c r="AD538" s="61"/>
      <c r="AE538" s="61"/>
      <c r="AF538" s="61"/>
      <c r="AG538" s="61"/>
      <c r="AH538" s="61"/>
      <c r="AI538" s="61"/>
      <c r="AJ538" s="61"/>
      <c r="AK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2"/>
      <c r="W539" s="61"/>
      <c r="X539" s="61"/>
      <c r="Y539" s="61"/>
      <c r="Z539" s="61"/>
      <c r="AA539" s="61"/>
      <c r="AB539" s="61"/>
      <c r="AC539" s="61"/>
      <c r="AD539" s="61"/>
      <c r="AE539" s="61"/>
      <c r="AF539" s="61"/>
      <c r="AG539" s="61"/>
      <c r="AH539" s="61"/>
      <c r="AI539" s="61"/>
      <c r="AJ539" s="61"/>
      <c r="AK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2"/>
      <c r="W540" s="61"/>
      <c r="X540" s="61"/>
      <c r="Y540" s="61"/>
      <c r="Z540" s="61"/>
      <c r="AA540" s="61"/>
      <c r="AB540" s="61"/>
      <c r="AC540" s="61"/>
      <c r="AD540" s="61"/>
      <c r="AE540" s="61"/>
      <c r="AF540" s="61"/>
      <c r="AG540" s="61"/>
      <c r="AH540" s="61"/>
      <c r="AI540" s="61"/>
      <c r="AJ540" s="61"/>
      <c r="AK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2"/>
      <c r="W541" s="61"/>
      <c r="X541" s="61"/>
      <c r="Y541" s="61"/>
      <c r="Z541" s="61"/>
      <c r="AA541" s="61"/>
      <c r="AB541" s="61"/>
      <c r="AC541" s="61"/>
      <c r="AD541" s="61"/>
      <c r="AE541" s="61"/>
      <c r="AF541" s="61"/>
      <c r="AG541" s="61"/>
      <c r="AH541" s="61"/>
      <c r="AI541" s="61"/>
      <c r="AJ541" s="61"/>
      <c r="AK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2"/>
      <c r="W542" s="61"/>
      <c r="X542" s="61"/>
      <c r="Y542" s="61"/>
      <c r="Z542" s="61"/>
      <c r="AA542" s="61"/>
      <c r="AB542" s="61"/>
      <c r="AC542" s="61"/>
      <c r="AD542" s="61"/>
      <c r="AE542" s="61"/>
      <c r="AF542" s="61"/>
      <c r="AG542" s="61"/>
      <c r="AH542" s="61"/>
      <c r="AI542" s="61"/>
      <c r="AJ542" s="61"/>
      <c r="AK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2"/>
      <c r="W543" s="61"/>
      <c r="X543" s="61"/>
      <c r="Y543" s="61"/>
      <c r="Z543" s="61"/>
      <c r="AA543" s="61"/>
      <c r="AB543" s="61"/>
      <c r="AC543" s="61"/>
      <c r="AD543" s="61"/>
      <c r="AE543" s="61"/>
      <c r="AF543" s="61"/>
      <c r="AG543" s="61"/>
      <c r="AH543" s="61"/>
      <c r="AI543" s="61"/>
      <c r="AJ543" s="61"/>
      <c r="AK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2"/>
      <c r="W544" s="61"/>
      <c r="X544" s="61"/>
      <c r="Y544" s="61"/>
      <c r="Z544" s="61"/>
      <c r="AA544" s="61"/>
      <c r="AB544" s="61"/>
      <c r="AC544" s="61"/>
      <c r="AD544" s="61"/>
      <c r="AE544" s="61"/>
      <c r="AF544" s="61"/>
      <c r="AG544" s="61"/>
      <c r="AH544" s="61"/>
      <c r="AI544" s="61"/>
      <c r="AJ544" s="61"/>
      <c r="AK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2"/>
      <c r="W545" s="61"/>
      <c r="X545" s="61"/>
      <c r="Y545" s="61"/>
      <c r="Z545" s="61"/>
      <c r="AA545" s="61"/>
      <c r="AB545" s="61"/>
      <c r="AC545" s="61"/>
      <c r="AD545" s="61"/>
      <c r="AE545" s="61"/>
      <c r="AF545" s="61"/>
      <c r="AG545" s="61"/>
      <c r="AH545" s="61"/>
      <c r="AI545" s="61"/>
      <c r="AJ545" s="61"/>
      <c r="AK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2"/>
      <c r="W546" s="61"/>
      <c r="X546" s="61"/>
      <c r="Y546" s="61"/>
      <c r="Z546" s="61"/>
      <c r="AA546" s="61"/>
      <c r="AB546" s="61"/>
      <c r="AC546" s="61"/>
      <c r="AD546" s="61"/>
      <c r="AE546" s="61"/>
      <c r="AF546" s="61"/>
      <c r="AG546" s="61"/>
      <c r="AH546" s="61"/>
      <c r="AI546" s="61"/>
      <c r="AJ546" s="61"/>
      <c r="AK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2"/>
      <c r="W547" s="61"/>
      <c r="X547" s="61"/>
      <c r="Y547" s="61"/>
      <c r="Z547" s="61"/>
      <c r="AA547" s="61"/>
      <c r="AB547" s="61"/>
      <c r="AC547" s="61"/>
      <c r="AD547" s="61"/>
      <c r="AE547" s="61"/>
      <c r="AF547" s="61"/>
      <c r="AG547" s="61"/>
      <c r="AH547" s="61"/>
      <c r="AI547" s="61"/>
      <c r="AJ547" s="61"/>
      <c r="AK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2"/>
      <c r="W548" s="61"/>
      <c r="X548" s="61"/>
      <c r="Y548" s="61"/>
      <c r="Z548" s="61"/>
      <c r="AA548" s="61"/>
      <c r="AB548" s="61"/>
      <c r="AC548" s="61"/>
      <c r="AD548" s="61"/>
      <c r="AE548" s="61"/>
      <c r="AF548" s="61"/>
      <c r="AG548" s="61"/>
      <c r="AH548" s="61"/>
      <c r="AI548" s="61"/>
      <c r="AJ548" s="61"/>
      <c r="AK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2"/>
      <c r="W549" s="61"/>
      <c r="X549" s="61"/>
      <c r="Y549" s="61"/>
      <c r="Z549" s="61"/>
      <c r="AA549" s="61"/>
      <c r="AB549" s="61"/>
      <c r="AC549" s="61"/>
      <c r="AD549" s="61"/>
      <c r="AE549" s="61"/>
      <c r="AF549" s="61"/>
      <c r="AG549" s="61"/>
      <c r="AH549" s="61"/>
      <c r="AI549" s="61"/>
      <c r="AJ549" s="61"/>
      <c r="AK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2"/>
      <c r="W550" s="61"/>
      <c r="X550" s="61"/>
      <c r="Y550" s="61"/>
      <c r="Z550" s="61"/>
      <c r="AA550" s="61"/>
      <c r="AB550" s="61"/>
      <c r="AC550" s="61"/>
      <c r="AD550" s="61"/>
      <c r="AE550" s="61"/>
      <c r="AF550" s="61"/>
      <c r="AG550" s="61"/>
      <c r="AH550" s="61"/>
      <c r="AI550" s="61"/>
      <c r="AJ550" s="61"/>
      <c r="AK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2"/>
      <c r="W551" s="61"/>
      <c r="X551" s="61"/>
      <c r="Y551" s="61"/>
      <c r="Z551" s="61"/>
      <c r="AA551" s="61"/>
      <c r="AB551" s="61"/>
      <c r="AC551" s="61"/>
      <c r="AD551" s="61"/>
      <c r="AE551" s="61"/>
      <c r="AF551" s="61"/>
      <c r="AG551" s="61"/>
      <c r="AH551" s="61"/>
      <c r="AI551" s="61"/>
      <c r="AJ551" s="61"/>
      <c r="AK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2"/>
      <c r="W552" s="61"/>
      <c r="X552" s="61"/>
      <c r="Y552" s="61"/>
      <c r="Z552" s="61"/>
      <c r="AA552" s="61"/>
      <c r="AB552" s="61"/>
      <c r="AC552" s="61"/>
      <c r="AD552" s="61"/>
      <c r="AE552" s="61"/>
      <c r="AF552" s="61"/>
      <c r="AG552" s="61"/>
      <c r="AH552" s="61"/>
      <c r="AI552" s="61"/>
      <c r="AJ552" s="61"/>
      <c r="AK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2"/>
      <c r="W553" s="61"/>
      <c r="X553" s="61"/>
      <c r="Y553" s="61"/>
      <c r="Z553" s="61"/>
      <c r="AA553" s="61"/>
      <c r="AB553" s="61"/>
      <c r="AC553" s="61"/>
      <c r="AD553" s="61"/>
      <c r="AE553" s="61"/>
      <c r="AF553" s="61"/>
      <c r="AG553" s="61"/>
      <c r="AH553" s="61"/>
      <c r="AI553" s="61"/>
      <c r="AJ553" s="61"/>
      <c r="AK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2"/>
      <c r="W554" s="61"/>
      <c r="X554" s="61"/>
      <c r="Y554" s="61"/>
      <c r="Z554" s="61"/>
      <c r="AA554" s="61"/>
      <c r="AB554" s="61"/>
      <c r="AC554" s="61"/>
      <c r="AD554" s="61"/>
      <c r="AE554" s="61"/>
      <c r="AF554" s="61"/>
      <c r="AG554" s="61"/>
      <c r="AH554" s="61"/>
      <c r="AI554" s="61"/>
      <c r="AJ554" s="61"/>
      <c r="AK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2"/>
      <c r="W555" s="61"/>
      <c r="X555" s="61"/>
      <c r="Y555" s="61"/>
      <c r="Z555" s="61"/>
      <c r="AA555" s="61"/>
      <c r="AB555" s="61"/>
      <c r="AC555" s="61"/>
      <c r="AD555" s="61"/>
      <c r="AE555" s="61"/>
      <c r="AF555" s="61"/>
      <c r="AG555" s="61"/>
      <c r="AH555" s="61"/>
      <c r="AI555" s="61"/>
      <c r="AJ555" s="61"/>
      <c r="AK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2"/>
      <c r="W556" s="61"/>
      <c r="X556" s="61"/>
      <c r="Y556" s="61"/>
      <c r="Z556" s="61"/>
      <c r="AA556" s="61"/>
      <c r="AB556" s="61"/>
      <c r="AC556" s="61"/>
      <c r="AD556" s="61"/>
      <c r="AE556" s="61"/>
      <c r="AF556" s="61"/>
      <c r="AG556" s="61"/>
      <c r="AH556" s="61"/>
      <c r="AI556" s="61"/>
      <c r="AJ556" s="61"/>
      <c r="AK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2"/>
      <c r="W557" s="61"/>
      <c r="X557" s="61"/>
      <c r="Y557" s="61"/>
      <c r="Z557" s="61"/>
      <c r="AA557" s="61"/>
      <c r="AB557" s="61"/>
      <c r="AC557" s="61"/>
      <c r="AD557" s="61"/>
      <c r="AE557" s="61"/>
      <c r="AF557" s="61"/>
      <c r="AG557" s="61"/>
      <c r="AH557" s="61"/>
      <c r="AI557" s="61"/>
      <c r="AJ557" s="61"/>
      <c r="AK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2"/>
      <c r="W558" s="61"/>
      <c r="X558" s="61"/>
      <c r="Y558" s="61"/>
      <c r="Z558" s="61"/>
      <c r="AA558" s="61"/>
      <c r="AB558" s="61"/>
      <c r="AC558" s="61"/>
      <c r="AD558" s="61"/>
      <c r="AE558" s="61"/>
      <c r="AF558" s="61"/>
      <c r="AG558" s="61"/>
      <c r="AH558" s="61"/>
      <c r="AI558" s="61"/>
      <c r="AJ558" s="61"/>
      <c r="AK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2"/>
      <c r="W559" s="61"/>
      <c r="X559" s="61"/>
      <c r="Y559" s="61"/>
      <c r="Z559" s="61"/>
      <c r="AA559" s="61"/>
      <c r="AB559" s="61"/>
      <c r="AC559" s="61"/>
      <c r="AD559" s="61"/>
      <c r="AE559" s="61"/>
      <c r="AF559" s="61"/>
      <c r="AG559" s="61"/>
      <c r="AH559" s="61"/>
      <c r="AI559" s="61"/>
      <c r="AJ559" s="61"/>
      <c r="AK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2"/>
      <c r="W560" s="61"/>
      <c r="X560" s="61"/>
      <c r="Y560" s="61"/>
      <c r="Z560" s="61"/>
      <c r="AA560" s="61"/>
      <c r="AB560" s="61"/>
      <c r="AC560" s="61"/>
      <c r="AD560" s="61"/>
      <c r="AE560" s="61"/>
      <c r="AF560" s="61"/>
      <c r="AG560" s="61"/>
      <c r="AH560" s="61"/>
      <c r="AI560" s="61"/>
      <c r="AJ560" s="61"/>
      <c r="AK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2"/>
      <c r="W561" s="61"/>
      <c r="X561" s="61"/>
      <c r="Y561" s="61"/>
      <c r="Z561" s="61"/>
      <c r="AA561" s="61"/>
      <c r="AB561" s="61"/>
      <c r="AC561" s="61"/>
      <c r="AD561" s="61"/>
      <c r="AE561" s="61"/>
      <c r="AF561" s="61"/>
      <c r="AG561" s="61"/>
      <c r="AH561" s="61"/>
      <c r="AI561" s="61"/>
      <c r="AJ561" s="61"/>
      <c r="AK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2"/>
      <c r="W562" s="61"/>
      <c r="X562" s="61"/>
      <c r="Y562" s="61"/>
      <c r="Z562" s="61"/>
      <c r="AA562" s="61"/>
      <c r="AB562" s="61"/>
      <c r="AC562" s="61"/>
      <c r="AD562" s="61"/>
      <c r="AE562" s="61"/>
      <c r="AF562" s="61"/>
      <c r="AG562" s="61"/>
      <c r="AH562" s="61"/>
      <c r="AI562" s="61"/>
      <c r="AJ562" s="61"/>
      <c r="AK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2"/>
      <c r="W563" s="61"/>
      <c r="X563" s="61"/>
      <c r="Y563" s="61"/>
      <c r="Z563" s="61"/>
      <c r="AA563" s="61"/>
      <c r="AB563" s="61"/>
      <c r="AC563" s="61"/>
      <c r="AD563" s="61"/>
      <c r="AE563" s="61"/>
      <c r="AF563" s="61"/>
      <c r="AG563" s="61"/>
      <c r="AH563" s="61"/>
      <c r="AI563" s="61"/>
      <c r="AJ563" s="61"/>
      <c r="AK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2"/>
      <c r="W564" s="61"/>
      <c r="X564" s="61"/>
      <c r="Y564" s="61"/>
      <c r="Z564" s="61"/>
      <c r="AA564" s="61"/>
      <c r="AB564" s="61"/>
      <c r="AC564" s="61"/>
      <c r="AD564" s="61"/>
      <c r="AE564" s="61"/>
      <c r="AF564" s="61"/>
      <c r="AG564" s="61"/>
      <c r="AH564" s="61"/>
      <c r="AI564" s="61"/>
      <c r="AJ564" s="61"/>
      <c r="AK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2"/>
      <c r="W565" s="61"/>
      <c r="X565" s="61"/>
      <c r="Y565" s="61"/>
      <c r="Z565" s="61"/>
      <c r="AA565" s="61"/>
      <c r="AB565" s="61"/>
      <c r="AC565" s="61"/>
      <c r="AD565" s="61"/>
      <c r="AE565" s="61"/>
      <c r="AF565" s="61"/>
      <c r="AG565" s="61"/>
      <c r="AH565" s="61"/>
      <c r="AI565" s="61"/>
      <c r="AJ565" s="61"/>
      <c r="AK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2"/>
      <c r="W566" s="61"/>
      <c r="X566" s="61"/>
      <c r="Y566" s="61"/>
      <c r="Z566" s="61"/>
      <c r="AA566" s="61"/>
      <c r="AB566" s="61"/>
      <c r="AC566" s="61"/>
      <c r="AD566" s="61"/>
      <c r="AE566" s="61"/>
      <c r="AF566" s="61"/>
      <c r="AG566" s="61"/>
      <c r="AH566" s="61"/>
      <c r="AI566" s="61"/>
      <c r="AJ566" s="61"/>
      <c r="AK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2"/>
      <c r="W567" s="61"/>
      <c r="X567" s="61"/>
      <c r="Y567" s="61"/>
      <c r="Z567" s="61"/>
      <c r="AA567" s="61"/>
      <c r="AB567" s="61"/>
      <c r="AC567" s="61"/>
      <c r="AD567" s="61"/>
      <c r="AE567" s="61"/>
      <c r="AF567" s="61"/>
      <c r="AG567" s="61"/>
      <c r="AH567" s="61"/>
      <c r="AI567" s="61"/>
      <c r="AJ567" s="61"/>
      <c r="AK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2"/>
      <c r="W568" s="61"/>
      <c r="X568" s="61"/>
      <c r="Y568" s="61"/>
      <c r="Z568" s="61"/>
      <c r="AA568" s="61"/>
      <c r="AB568" s="61"/>
      <c r="AC568" s="61"/>
      <c r="AD568" s="61"/>
      <c r="AE568" s="61"/>
      <c r="AF568" s="61"/>
      <c r="AG568" s="61"/>
      <c r="AH568" s="61"/>
      <c r="AI568" s="61"/>
      <c r="AJ568" s="61"/>
      <c r="AK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2"/>
      <c r="W569" s="61"/>
      <c r="X569" s="61"/>
      <c r="Y569" s="61"/>
      <c r="Z569" s="61"/>
      <c r="AA569" s="61"/>
      <c r="AB569" s="61"/>
      <c r="AC569" s="61"/>
      <c r="AD569" s="61"/>
      <c r="AE569" s="61"/>
      <c r="AF569" s="61"/>
      <c r="AG569" s="61"/>
      <c r="AH569" s="61"/>
      <c r="AI569" s="61"/>
      <c r="AJ569" s="61"/>
      <c r="AK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2"/>
      <c r="W570" s="61"/>
      <c r="X570" s="61"/>
      <c r="Y570" s="61"/>
      <c r="Z570" s="61"/>
      <c r="AA570" s="61"/>
      <c r="AB570" s="61"/>
      <c r="AC570" s="61"/>
      <c r="AD570" s="61"/>
      <c r="AE570" s="61"/>
      <c r="AF570" s="61"/>
      <c r="AG570" s="61"/>
      <c r="AH570" s="61"/>
      <c r="AI570" s="61"/>
      <c r="AJ570" s="61"/>
      <c r="AK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2"/>
      <c r="W571" s="61"/>
      <c r="X571" s="61"/>
      <c r="Y571" s="61"/>
      <c r="Z571" s="61"/>
      <c r="AA571" s="61"/>
      <c r="AB571" s="61"/>
      <c r="AC571" s="61"/>
      <c r="AD571" s="61"/>
      <c r="AE571" s="61"/>
      <c r="AF571" s="61"/>
      <c r="AG571" s="61"/>
      <c r="AH571" s="61"/>
      <c r="AI571" s="61"/>
      <c r="AJ571" s="61"/>
      <c r="AK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2"/>
      <c r="W572" s="61"/>
      <c r="X572" s="61"/>
      <c r="Y572" s="61"/>
      <c r="Z572" s="61"/>
      <c r="AA572" s="61"/>
      <c r="AB572" s="61"/>
      <c r="AC572" s="61"/>
      <c r="AD572" s="61"/>
      <c r="AE572" s="61"/>
      <c r="AF572" s="61"/>
      <c r="AG572" s="61"/>
      <c r="AH572" s="61"/>
      <c r="AI572" s="61"/>
      <c r="AJ572" s="61"/>
      <c r="AK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2"/>
      <c r="W573" s="61"/>
      <c r="X573" s="61"/>
      <c r="Y573" s="61"/>
      <c r="Z573" s="61"/>
      <c r="AA573" s="61"/>
      <c r="AB573" s="61"/>
      <c r="AC573" s="61"/>
      <c r="AD573" s="61"/>
      <c r="AE573" s="61"/>
      <c r="AF573" s="61"/>
      <c r="AG573" s="61"/>
      <c r="AH573" s="61"/>
      <c r="AI573" s="61"/>
      <c r="AJ573" s="61"/>
      <c r="AK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2"/>
      <c r="W574" s="61"/>
      <c r="X574" s="61"/>
      <c r="Y574" s="61"/>
      <c r="Z574" s="61"/>
      <c r="AA574" s="61"/>
      <c r="AB574" s="61"/>
      <c r="AC574" s="61"/>
      <c r="AD574" s="61"/>
      <c r="AE574" s="61"/>
      <c r="AF574" s="61"/>
      <c r="AG574" s="61"/>
      <c r="AH574" s="61"/>
      <c r="AI574" s="61"/>
      <c r="AJ574" s="61"/>
      <c r="AK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2"/>
      <c r="W575" s="61"/>
      <c r="X575" s="61"/>
      <c r="Y575" s="61"/>
      <c r="Z575" s="61"/>
      <c r="AA575" s="61"/>
      <c r="AB575" s="61"/>
      <c r="AC575" s="61"/>
      <c r="AD575" s="61"/>
      <c r="AE575" s="61"/>
      <c r="AF575" s="61"/>
      <c r="AG575" s="61"/>
      <c r="AH575" s="61"/>
      <c r="AI575" s="61"/>
      <c r="AJ575" s="61"/>
      <c r="AK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2"/>
      <c r="W576" s="61"/>
      <c r="X576" s="61"/>
      <c r="Y576" s="61"/>
      <c r="Z576" s="61"/>
      <c r="AA576" s="61"/>
      <c r="AB576" s="61"/>
      <c r="AC576" s="61"/>
      <c r="AD576" s="61"/>
      <c r="AE576" s="61"/>
      <c r="AF576" s="61"/>
      <c r="AG576" s="61"/>
      <c r="AH576" s="61"/>
      <c r="AI576" s="61"/>
      <c r="AJ576" s="61"/>
      <c r="AK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2"/>
      <c r="W577" s="61"/>
      <c r="X577" s="61"/>
      <c r="Y577" s="61"/>
      <c r="Z577" s="61"/>
      <c r="AA577" s="61"/>
      <c r="AB577" s="61"/>
      <c r="AC577" s="61"/>
      <c r="AD577" s="61"/>
      <c r="AE577" s="61"/>
      <c r="AF577" s="61"/>
      <c r="AG577" s="61"/>
      <c r="AH577" s="61"/>
      <c r="AI577" s="61"/>
      <c r="AJ577" s="61"/>
      <c r="AK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2"/>
      <c r="W578" s="61"/>
      <c r="X578" s="61"/>
      <c r="Y578" s="61"/>
      <c r="Z578" s="61"/>
      <c r="AA578" s="61"/>
      <c r="AB578" s="61"/>
      <c r="AC578" s="61"/>
      <c r="AD578" s="61"/>
      <c r="AE578" s="61"/>
      <c r="AF578" s="61"/>
      <c r="AG578" s="61"/>
      <c r="AH578" s="61"/>
      <c r="AI578" s="61"/>
      <c r="AJ578" s="61"/>
      <c r="AK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2"/>
      <c r="W579" s="61"/>
      <c r="X579" s="61"/>
      <c r="Y579" s="61"/>
      <c r="Z579" s="61"/>
      <c r="AA579" s="61"/>
      <c r="AB579" s="61"/>
      <c r="AC579" s="61"/>
      <c r="AD579" s="61"/>
      <c r="AE579" s="61"/>
      <c r="AF579" s="61"/>
      <c r="AG579" s="61"/>
      <c r="AH579" s="61"/>
      <c r="AI579" s="61"/>
      <c r="AJ579" s="61"/>
      <c r="AK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2"/>
      <c r="W580" s="61"/>
      <c r="X580" s="61"/>
      <c r="Y580" s="61"/>
      <c r="Z580" s="61"/>
      <c r="AA580" s="61"/>
      <c r="AB580" s="61"/>
      <c r="AC580" s="61"/>
      <c r="AD580" s="61"/>
      <c r="AE580" s="61"/>
      <c r="AF580" s="61"/>
      <c r="AG580" s="61"/>
      <c r="AH580" s="61"/>
      <c r="AI580" s="61"/>
      <c r="AJ580" s="61"/>
      <c r="AK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2"/>
      <c r="W581" s="61"/>
      <c r="X581" s="61"/>
      <c r="Y581" s="61"/>
      <c r="Z581" s="61"/>
      <c r="AA581" s="61"/>
      <c r="AB581" s="61"/>
      <c r="AC581" s="61"/>
      <c r="AD581" s="61"/>
      <c r="AE581" s="61"/>
      <c r="AF581" s="61"/>
      <c r="AG581" s="61"/>
      <c r="AH581" s="61"/>
      <c r="AI581" s="61"/>
      <c r="AJ581" s="61"/>
      <c r="AK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2"/>
      <c r="W582" s="61"/>
      <c r="X582" s="61"/>
      <c r="Y582" s="61"/>
      <c r="Z582" s="61"/>
      <c r="AA582" s="61"/>
      <c r="AB582" s="61"/>
      <c r="AC582" s="61"/>
      <c r="AD582" s="61"/>
      <c r="AE582" s="61"/>
      <c r="AF582" s="61"/>
      <c r="AG582" s="61"/>
      <c r="AH582" s="61"/>
      <c r="AI582" s="61"/>
      <c r="AJ582" s="61"/>
      <c r="AK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2"/>
      <c r="W583" s="61"/>
      <c r="X583" s="61"/>
      <c r="Y583" s="61"/>
      <c r="Z583" s="61"/>
      <c r="AA583" s="61"/>
      <c r="AB583" s="61"/>
      <c r="AC583" s="61"/>
      <c r="AD583" s="61"/>
      <c r="AE583" s="61"/>
      <c r="AF583" s="61"/>
      <c r="AG583" s="61"/>
      <c r="AH583" s="61"/>
      <c r="AI583" s="61"/>
      <c r="AJ583" s="61"/>
      <c r="AK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2"/>
      <c r="W584" s="61"/>
      <c r="X584" s="61"/>
      <c r="Y584" s="61"/>
      <c r="Z584" s="61"/>
      <c r="AA584" s="61"/>
      <c r="AB584" s="61"/>
      <c r="AC584" s="61"/>
      <c r="AD584" s="61"/>
      <c r="AE584" s="61"/>
      <c r="AF584" s="61"/>
      <c r="AG584" s="61"/>
      <c r="AH584" s="61"/>
      <c r="AI584" s="61"/>
      <c r="AJ584" s="61"/>
      <c r="AK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2"/>
      <c r="W585" s="61"/>
      <c r="X585" s="61"/>
      <c r="Y585" s="61"/>
      <c r="Z585" s="61"/>
      <c r="AA585" s="61"/>
      <c r="AB585" s="61"/>
      <c r="AC585" s="61"/>
      <c r="AD585" s="61"/>
      <c r="AE585" s="61"/>
      <c r="AF585" s="61"/>
      <c r="AG585" s="61"/>
      <c r="AH585" s="61"/>
      <c r="AI585" s="61"/>
      <c r="AJ585" s="61"/>
      <c r="AK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2"/>
      <c r="W586" s="61"/>
      <c r="X586" s="61"/>
      <c r="Y586" s="61"/>
      <c r="Z586" s="61"/>
      <c r="AA586" s="61"/>
      <c r="AB586" s="61"/>
      <c r="AC586" s="61"/>
      <c r="AD586" s="61"/>
      <c r="AE586" s="61"/>
      <c r="AF586" s="61"/>
      <c r="AG586" s="61"/>
      <c r="AH586" s="61"/>
      <c r="AI586" s="61"/>
      <c r="AJ586" s="61"/>
      <c r="AK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2"/>
      <c r="W587" s="61"/>
      <c r="X587" s="61"/>
      <c r="Y587" s="61"/>
      <c r="Z587" s="61"/>
      <c r="AA587" s="61"/>
      <c r="AB587" s="61"/>
      <c r="AC587" s="61"/>
      <c r="AD587" s="61"/>
      <c r="AE587" s="61"/>
      <c r="AF587" s="61"/>
      <c r="AG587" s="61"/>
      <c r="AH587" s="61"/>
      <c r="AI587" s="61"/>
      <c r="AJ587" s="61"/>
      <c r="AK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2"/>
      <c r="W588" s="61"/>
      <c r="X588" s="61"/>
      <c r="Y588" s="61"/>
      <c r="Z588" s="61"/>
      <c r="AA588" s="61"/>
      <c r="AB588" s="61"/>
      <c r="AC588" s="61"/>
      <c r="AD588" s="61"/>
      <c r="AE588" s="61"/>
      <c r="AF588" s="61"/>
      <c r="AG588" s="61"/>
      <c r="AH588" s="61"/>
      <c r="AI588" s="61"/>
      <c r="AJ588" s="61"/>
      <c r="AK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2"/>
      <c r="W589" s="61"/>
      <c r="X589" s="61"/>
      <c r="Y589" s="61"/>
      <c r="Z589" s="61"/>
      <c r="AA589" s="61"/>
      <c r="AB589" s="61"/>
      <c r="AC589" s="61"/>
      <c r="AD589" s="61"/>
      <c r="AE589" s="61"/>
      <c r="AF589" s="61"/>
      <c r="AG589" s="61"/>
      <c r="AH589" s="61"/>
      <c r="AI589" s="61"/>
      <c r="AJ589" s="61"/>
      <c r="AK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2"/>
      <c r="W590" s="61"/>
      <c r="X590" s="61"/>
      <c r="Y590" s="61"/>
      <c r="Z590" s="61"/>
      <c r="AA590" s="61"/>
      <c r="AB590" s="61"/>
      <c r="AC590" s="61"/>
      <c r="AD590" s="61"/>
      <c r="AE590" s="61"/>
      <c r="AF590" s="61"/>
      <c r="AG590" s="61"/>
      <c r="AH590" s="61"/>
      <c r="AI590" s="61"/>
      <c r="AJ590" s="61"/>
      <c r="AK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2"/>
      <c r="W591" s="61"/>
      <c r="X591" s="61"/>
      <c r="Y591" s="61"/>
      <c r="Z591" s="61"/>
      <c r="AA591" s="61"/>
      <c r="AB591" s="61"/>
      <c r="AC591" s="61"/>
      <c r="AD591" s="61"/>
      <c r="AE591" s="61"/>
      <c r="AF591" s="61"/>
      <c r="AG591" s="61"/>
      <c r="AH591" s="61"/>
      <c r="AI591" s="61"/>
      <c r="AJ591" s="61"/>
      <c r="AK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2"/>
      <c r="W592" s="61"/>
      <c r="X592" s="61"/>
      <c r="Y592" s="61"/>
      <c r="Z592" s="61"/>
      <c r="AA592" s="61"/>
      <c r="AB592" s="61"/>
      <c r="AC592" s="61"/>
      <c r="AD592" s="61"/>
      <c r="AE592" s="61"/>
      <c r="AF592" s="61"/>
      <c r="AG592" s="61"/>
      <c r="AH592" s="61"/>
      <c r="AI592" s="61"/>
      <c r="AJ592" s="61"/>
      <c r="AK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2"/>
      <c r="W593" s="61"/>
      <c r="X593" s="61"/>
      <c r="Y593" s="61"/>
      <c r="Z593" s="61"/>
      <c r="AA593" s="61"/>
      <c r="AB593" s="61"/>
      <c r="AC593" s="61"/>
      <c r="AD593" s="61"/>
      <c r="AE593" s="61"/>
      <c r="AF593" s="61"/>
      <c r="AG593" s="61"/>
      <c r="AH593" s="61"/>
      <c r="AI593" s="61"/>
      <c r="AJ593" s="61"/>
      <c r="AK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2"/>
      <c r="W594" s="61"/>
      <c r="X594" s="61"/>
      <c r="Y594" s="61"/>
      <c r="Z594" s="61"/>
      <c r="AA594" s="61"/>
      <c r="AB594" s="61"/>
      <c r="AC594" s="61"/>
      <c r="AD594" s="61"/>
      <c r="AE594" s="61"/>
      <c r="AF594" s="61"/>
      <c r="AG594" s="61"/>
      <c r="AH594" s="61"/>
      <c r="AI594" s="61"/>
      <c r="AJ594" s="61"/>
      <c r="AK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2"/>
      <c r="W595" s="61"/>
      <c r="X595" s="61"/>
      <c r="Y595" s="61"/>
      <c r="Z595" s="61"/>
      <c r="AA595" s="61"/>
      <c r="AB595" s="61"/>
      <c r="AC595" s="61"/>
      <c r="AD595" s="61"/>
      <c r="AE595" s="61"/>
      <c r="AF595" s="61"/>
      <c r="AG595" s="61"/>
      <c r="AH595" s="61"/>
      <c r="AI595" s="61"/>
      <c r="AJ595" s="61"/>
      <c r="AK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2"/>
      <c r="W596" s="61"/>
      <c r="X596" s="61"/>
      <c r="Y596" s="61"/>
      <c r="Z596" s="61"/>
      <c r="AA596" s="61"/>
      <c r="AB596" s="61"/>
      <c r="AC596" s="61"/>
      <c r="AD596" s="61"/>
      <c r="AE596" s="61"/>
      <c r="AF596" s="61"/>
      <c r="AG596" s="61"/>
      <c r="AH596" s="61"/>
      <c r="AI596" s="61"/>
      <c r="AJ596" s="61"/>
      <c r="AK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2"/>
      <c r="W597" s="61"/>
      <c r="X597" s="61"/>
      <c r="Y597" s="61"/>
      <c r="Z597" s="61"/>
      <c r="AA597" s="61"/>
      <c r="AB597" s="61"/>
      <c r="AC597" s="61"/>
      <c r="AD597" s="61"/>
      <c r="AE597" s="61"/>
      <c r="AF597" s="61"/>
      <c r="AG597" s="61"/>
      <c r="AH597" s="61"/>
      <c r="AI597" s="61"/>
      <c r="AJ597" s="61"/>
      <c r="AK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2"/>
      <c r="W598" s="61"/>
      <c r="X598" s="61"/>
      <c r="Y598" s="61"/>
      <c r="Z598" s="61"/>
      <c r="AA598" s="61"/>
      <c r="AB598" s="61"/>
      <c r="AC598" s="61"/>
      <c r="AD598" s="61"/>
      <c r="AE598" s="61"/>
      <c r="AF598" s="61"/>
      <c r="AG598" s="61"/>
      <c r="AH598" s="61"/>
      <c r="AI598" s="61"/>
      <c r="AJ598" s="61"/>
      <c r="AK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2"/>
      <c r="W599" s="61"/>
      <c r="X599" s="61"/>
      <c r="Y599" s="61"/>
      <c r="Z599" s="61"/>
      <c r="AA599" s="61"/>
      <c r="AB599" s="61"/>
      <c r="AC599" s="61"/>
      <c r="AD599" s="61"/>
      <c r="AE599" s="61"/>
      <c r="AF599" s="61"/>
      <c r="AG599" s="61"/>
      <c r="AH599" s="61"/>
      <c r="AI599" s="61"/>
      <c r="AJ599" s="61"/>
      <c r="AK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2"/>
      <c r="W600" s="61"/>
      <c r="X600" s="61"/>
      <c r="Y600" s="61"/>
      <c r="Z600" s="61"/>
      <c r="AA600" s="61"/>
      <c r="AB600" s="61"/>
      <c r="AC600" s="61"/>
      <c r="AD600" s="61"/>
      <c r="AE600" s="61"/>
      <c r="AF600" s="61"/>
      <c r="AG600" s="61"/>
      <c r="AH600" s="61"/>
      <c r="AI600" s="61"/>
      <c r="AJ600" s="61"/>
      <c r="AK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2"/>
      <c r="W601" s="61"/>
      <c r="X601" s="61"/>
      <c r="Y601" s="61"/>
      <c r="Z601" s="61"/>
      <c r="AA601" s="61"/>
      <c r="AB601" s="61"/>
      <c r="AC601" s="61"/>
      <c r="AD601" s="61"/>
      <c r="AE601" s="61"/>
      <c r="AF601" s="61"/>
      <c r="AG601" s="61"/>
      <c r="AH601" s="61"/>
      <c r="AI601" s="61"/>
      <c r="AJ601" s="61"/>
      <c r="AK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2"/>
      <c r="W602" s="61"/>
      <c r="X602" s="61"/>
      <c r="Y602" s="61"/>
      <c r="Z602" s="61"/>
      <c r="AA602" s="61"/>
      <c r="AB602" s="61"/>
      <c r="AC602" s="61"/>
      <c r="AD602" s="61"/>
      <c r="AE602" s="61"/>
      <c r="AF602" s="61"/>
      <c r="AG602" s="61"/>
      <c r="AH602" s="61"/>
      <c r="AI602" s="61"/>
      <c r="AJ602" s="61"/>
      <c r="AK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2"/>
      <c r="W603" s="61"/>
      <c r="X603" s="61"/>
      <c r="Y603" s="61"/>
      <c r="Z603" s="61"/>
      <c r="AA603" s="61"/>
      <c r="AB603" s="61"/>
      <c r="AC603" s="61"/>
      <c r="AD603" s="61"/>
      <c r="AE603" s="61"/>
      <c r="AF603" s="61"/>
      <c r="AG603" s="61"/>
      <c r="AH603" s="61"/>
      <c r="AI603" s="61"/>
      <c r="AJ603" s="61"/>
      <c r="AK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2"/>
      <c r="W604" s="61"/>
      <c r="X604" s="61"/>
      <c r="Y604" s="61"/>
      <c r="Z604" s="61"/>
      <c r="AA604" s="61"/>
      <c r="AB604" s="61"/>
      <c r="AC604" s="61"/>
      <c r="AD604" s="61"/>
      <c r="AE604" s="61"/>
      <c r="AF604" s="61"/>
      <c r="AG604" s="61"/>
      <c r="AH604" s="61"/>
      <c r="AI604" s="61"/>
      <c r="AJ604" s="61"/>
      <c r="AK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2"/>
      <c r="W605" s="61"/>
      <c r="X605" s="61"/>
      <c r="Y605" s="61"/>
      <c r="Z605" s="61"/>
      <c r="AA605" s="61"/>
      <c r="AB605" s="61"/>
      <c r="AC605" s="61"/>
      <c r="AD605" s="61"/>
      <c r="AE605" s="61"/>
      <c r="AF605" s="61"/>
      <c r="AG605" s="61"/>
      <c r="AH605" s="61"/>
      <c r="AI605" s="61"/>
      <c r="AJ605" s="61"/>
      <c r="AK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2"/>
      <c r="W606" s="61"/>
      <c r="X606" s="61"/>
      <c r="Y606" s="61"/>
      <c r="Z606" s="61"/>
      <c r="AA606" s="61"/>
      <c r="AB606" s="61"/>
      <c r="AC606" s="61"/>
      <c r="AD606" s="61"/>
      <c r="AE606" s="61"/>
      <c r="AF606" s="61"/>
      <c r="AG606" s="61"/>
      <c r="AH606" s="61"/>
      <c r="AI606" s="61"/>
      <c r="AJ606" s="61"/>
      <c r="AK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2"/>
      <c r="W607" s="61"/>
      <c r="X607" s="61"/>
      <c r="Y607" s="61"/>
      <c r="Z607" s="61"/>
      <c r="AA607" s="61"/>
      <c r="AB607" s="61"/>
      <c r="AC607" s="61"/>
      <c r="AD607" s="61"/>
      <c r="AE607" s="61"/>
      <c r="AF607" s="61"/>
      <c r="AG607" s="61"/>
      <c r="AH607" s="61"/>
      <c r="AI607" s="61"/>
      <c r="AJ607" s="61"/>
      <c r="AK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2"/>
      <c r="W608" s="61"/>
      <c r="X608" s="61"/>
      <c r="Y608" s="61"/>
      <c r="Z608" s="61"/>
      <c r="AA608" s="61"/>
      <c r="AB608" s="61"/>
      <c r="AC608" s="61"/>
      <c r="AD608" s="61"/>
      <c r="AE608" s="61"/>
      <c r="AF608" s="61"/>
      <c r="AG608" s="61"/>
      <c r="AH608" s="61"/>
      <c r="AI608" s="61"/>
      <c r="AJ608" s="61"/>
      <c r="AK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2"/>
      <c r="W609" s="61"/>
      <c r="X609" s="61"/>
      <c r="Y609" s="61"/>
      <c r="Z609" s="61"/>
      <c r="AA609" s="61"/>
      <c r="AB609" s="61"/>
      <c r="AC609" s="61"/>
      <c r="AD609" s="61"/>
      <c r="AE609" s="61"/>
      <c r="AF609" s="61"/>
      <c r="AG609" s="61"/>
      <c r="AH609" s="61"/>
      <c r="AI609" s="61"/>
      <c r="AJ609" s="61"/>
      <c r="AK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2"/>
      <c r="W610" s="61"/>
      <c r="X610" s="61"/>
      <c r="Y610" s="61"/>
      <c r="Z610" s="61"/>
      <c r="AA610" s="61"/>
      <c r="AB610" s="61"/>
      <c r="AC610" s="61"/>
      <c r="AD610" s="61"/>
      <c r="AE610" s="61"/>
      <c r="AF610" s="61"/>
      <c r="AG610" s="61"/>
      <c r="AH610" s="61"/>
      <c r="AI610" s="61"/>
      <c r="AJ610" s="61"/>
      <c r="AK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2"/>
      <c r="W611" s="61"/>
      <c r="X611" s="61"/>
      <c r="Y611" s="61"/>
      <c r="Z611" s="61"/>
      <c r="AA611" s="61"/>
      <c r="AB611" s="61"/>
      <c r="AC611" s="61"/>
      <c r="AD611" s="61"/>
      <c r="AE611" s="61"/>
      <c r="AF611" s="61"/>
      <c r="AG611" s="61"/>
      <c r="AH611" s="61"/>
      <c r="AI611" s="61"/>
      <c r="AJ611" s="61"/>
      <c r="AK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2"/>
      <c r="W612" s="61"/>
      <c r="X612" s="61"/>
      <c r="Y612" s="61"/>
      <c r="Z612" s="61"/>
      <c r="AA612" s="61"/>
      <c r="AB612" s="61"/>
      <c r="AC612" s="61"/>
      <c r="AD612" s="61"/>
      <c r="AE612" s="61"/>
      <c r="AF612" s="61"/>
      <c r="AG612" s="61"/>
      <c r="AH612" s="61"/>
      <c r="AI612" s="61"/>
      <c r="AJ612" s="61"/>
      <c r="AK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2"/>
      <c r="W613" s="61"/>
      <c r="X613" s="61"/>
      <c r="Y613" s="61"/>
      <c r="Z613" s="61"/>
      <c r="AA613" s="61"/>
      <c r="AB613" s="61"/>
      <c r="AC613" s="61"/>
      <c r="AD613" s="61"/>
      <c r="AE613" s="61"/>
      <c r="AF613" s="61"/>
      <c r="AG613" s="61"/>
      <c r="AH613" s="61"/>
      <c r="AI613" s="61"/>
      <c r="AJ613" s="61"/>
      <c r="AK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2"/>
      <c r="W614" s="61"/>
      <c r="X614" s="61"/>
      <c r="Y614" s="61"/>
      <c r="Z614" s="61"/>
      <c r="AA614" s="61"/>
      <c r="AB614" s="61"/>
      <c r="AC614" s="61"/>
      <c r="AD614" s="61"/>
      <c r="AE614" s="61"/>
      <c r="AF614" s="61"/>
      <c r="AG614" s="61"/>
      <c r="AH614" s="61"/>
      <c r="AI614" s="61"/>
      <c r="AJ614" s="61"/>
      <c r="AK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2"/>
      <c r="W615" s="61"/>
      <c r="X615" s="61"/>
      <c r="Y615" s="61"/>
      <c r="Z615" s="61"/>
      <c r="AA615" s="61"/>
      <c r="AB615" s="61"/>
      <c r="AC615" s="61"/>
      <c r="AD615" s="61"/>
      <c r="AE615" s="61"/>
      <c r="AF615" s="61"/>
      <c r="AG615" s="61"/>
      <c r="AH615" s="61"/>
      <c r="AI615" s="61"/>
      <c r="AJ615" s="61"/>
      <c r="AK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2"/>
      <c r="W616" s="61"/>
      <c r="X616" s="61"/>
      <c r="Y616" s="61"/>
      <c r="Z616" s="61"/>
      <c r="AA616" s="61"/>
      <c r="AB616" s="61"/>
      <c r="AC616" s="61"/>
      <c r="AD616" s="61"/>
      <c r="AE616" s="61"/>
      <c r="AF616" s="61"/>
      <c r="AG616" s="61"/>
      <c r="AH616" s="61"/>
      <c r="AI616" s="61"/>
      <c r="AJ616" s="61"/>
      <c r="AK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2"/>
      <c r="W617" s="61"/>
      <c r="X617" s="61"/>
      <c r="Y617" s="61"/>
      <c r="Z617" s="61"/>
      <c r="AA617" s="61"/>
      <c r="AB617" s="61"/>
      <c r="AC617" s="61"/>
      <c r="AD617" s="61"/>
      <c r="AE617" s="61"/>
      <c r="AF617" s="61"/>
      <c r="AG617" s="61"/>
      <c r="AH617" s="61"/>
      <c r="AI617" s="61"/>
      <c r="AJ617" s="61"/>
      <c r="AK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2"/>
      <c r="W618" s="61"/>
      <c r="X618" s="61"/>
      <c r="Y618" s="61"/>
      <c r="Z618" s="61"/>
      <c r="AA618" s="61"/>
      <c r="AB618" s="61"/>
      <c r="AC618" s="61"/>
      <c r="AD618" s="61"/>
      <c r="AE618" s="61"/>
      <c r="AF618" s="61"/>
      <c r="AG618" s="61"/>
      <c r="AH618" s="61"/>
      <c r="AI618" s="61"/>
      <c r="AJ618" s="61"/>
      <c r="AK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2"/>
      <c r="W619" s="61"/>
      <c r="X619" s="61"/>
      <c r="Y619" s="61"/>
      <c r="Z619" s="61"/>
      <c r="AA619" s="61"/>
      <c r="AB619" s="61"/>
      <c r="AC619" s="61"/>
      <c r="AD619" s="61"/>
      <c r="AE619" s="61"/>
      <c r="AF619" s="61"/>
      <c r="AG619" s="61"/>
      <c r="AH619" s="61"/>
      <c r="AI619" s="61"/>
      <c r="AJ619" s="61"/>
      <c r="AK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2"/>
      <c r="W620" s="61"/>
      <c r="X620" s="61"/>
      <c r="Y620" s="61"/>
      <c r="Z620" s="61"/>
      <c r="AA620" s="61"/>
      <c r="AB620" s="61"/>
      <c r="AC620" s="61"/>
      <c r="AD620" s="61"/>
      <c r="AE620" s="61"/>
      <c r="AF620" s="61"/>
      <c r="AG620" s="61"/>
      <c r="AH620" s="61"/>
      <c r="AI620" s="61"/>
      <c r="AJ620" s="61"/>
      <c r="AK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2"/>
      <c r="W621" s="61"/>
      <c r="X621" s="61"/>
      <c r="Y621" s="61"/>
      <c r="Z621" s="61"/>
      <c r="AA621" s="61"/>
      <c r="AB621" s="61"/>
      <c r="AC621" s="61"/>
      <c r="AD621" s="61"/>
      <c r="AE621" s="61"/>
      <c r="AF621" s="61"/>
      <c r="AG621" s="61"/>
      <c r="AH621" s="61"/>
      <c r="AI621" s="61"/>
      <c r="AJ621" s="61"/>
      <c r="AK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2"/>
      <c r="W622" s="61"/>
      <c r="X622" s="61"/>
      <c r="Y622" s="61"/>
      <c r="Z622" s="61"/>
      <c r="AA622" s="61"/>
      <c r="AB622" s="61"/>
      <c r="AC622" s="61"/>
      <c r="AD622" s="61"/>
      <c r="AE622" s="61"/>
      <c r="AF622" s="61"/>
      <c r="AG622" s="61"/>
      <c r="AH622" s="61"/>
      <c r="AI622" s="61"/>
      <c r="AJ622" s="61"/>
      <c r="AK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2"/>
      <c r="W623" s="61"/>
      <c r="X623" s="61"/>
      <c r="Y623" s="61"/>
      <c r="Z623" s="61"/>
      <c r="AA623" s="61"/>
      <c r="AB623" s="61"/>
      <c r="AC623" s="61"/>
      <c r="AD623" s="61"/>
      <c r="AE623" s="61"/>
      <c r="AF623" s="61"/>
      <c r="AG623" s="61"/>
      <c r="AH623" s="61"/>
      <c r="AI623" s="61"/>
      <c r="AJ623" s="61"/>
      <c r="AK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2"/>
      <c r="W624" s="61"/>
      <c r="X624" s="61"/>
      <c r="Y624" s="61"/>
      <c r="Z624" s="61"/>
      <c r="AA624" s="61"/>
      <c r="AB624" s="61"/>
      <c r="AC624" s="61"/>
      <c r="AD624" s="61"/>
      <c r="AE624" s="61"/>
      <c r="AF624" s="61"/>
      <c r="AG624" s="61"/>
      <c r="AH624" s="61"/>
      <c r="AI624" s="61"/>
      <c r="AJ624" s="61"/>
      <c r="AK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2"/>
      <c r="W625" s="61"/>
      <c r="X625" s="61"/>
      <c r="Y625" s="61"/>
      <c r="Z625" s="61"/>
      <c r="AA625" s="61"/>
      <c r="AB625" s="61"/>
      <c r="AC625" s="61"/>
      <c r="AD625" s="61"/>
      <c r="AE625" s="61"/>
      <c r="AF625" s="61"/>
      <c r="AG625" s="61"/>
      <c r="AH625" s="61"/>
      <c r="AI625" s="61"/>
      <c r="AJ625" s="61"/>
      <c r="AK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2"/>
      <c r="W626" s="61"/>
      <c r="X626" s="61"/>
      <c r="Y626" s="61"/>
      <c r="Z626" s="61"/>
      <c r="AA626" s="61"/>
      <c r="AB626" s="61"/>
      <c r="AC626" s="61"/>
      <c r="AD626" s="61"/>
      <c r="AE626" s="61"/>
      <c r="AF626" s="61"/>
      <c r="AG626" s="61"/>
      <c r="AH626" s="61"/>
      <c r="AI626" s="61"/>
      <c r="AJ626" s="61"/>
      <c r="AK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2"/>
      <c r="W627" s="61"/>
      <c r="X627" s="61"/>
      <c r="Y627" s="61"/>
      <c r="Z627" s="61"/>
      <c r="AA627" s="61"/>
      <c r="AB627" s="61"/>
      <c r="AC627" s="61"/>
      <c r="AD627" s="61"/>
      <c r="AE627" s="61"/>
      <c r="AF627" s="61"/>
      <c r="AG627" s="61"/>
      <c r="AH627" s="61"/>
      <c r="AI627" s="61"/>
      <c r="AJ627" s="61"/>
      <c r="AK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2"/>
      <c r="W628" s="61"/>
      <c r="X628" s="61"/>
      <c r="Y628" s="61"/>
      <c r="Z628" s="61"/>
      <c r="AA628" s="61"/>
      <c r="AB628" s="61"/>
      <c r="AC628" s="61"/>
      <c r="AD628" s="61"/>
      <c r="AE628" s="61"/>
      <c r="AF628" s="61"/>
      <c r="AG628" s="61"/>
      <c r="AH628" s="61"/>
      <c r="AI628" s="61"/>
      <c r="AJ628" s="61"/>
      <c r="AK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2"/>
      <c r="W629" s="61"/>
      <c r="X629" s="61"/>
      <c r="Y629" s="61"/>
      <c r="Z629" s="61"/>
      <c r="AA629" s="61"/>
      <c r="AB629" s="61"/>
      <c r="AC629" s="61"/>
      <c r="AD629" s="61"/>
      <c r="AE629" s="61"/>
      <c r="AF629" s="61"/>
      <c r="AG629" s="61"/>
      <c r="AH629" s="61"/>
      <c r="AI629" s="61"/>
      <c r="AJ629" s="61"/>
      <c r="AK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2"/>
      <c r="W630" s="61"/>
      <c r="X630" s="61"/>
      <c r="Y630" s="61"/>
      <c r="Z630" s="61"/>
      <c r="AA630" s="61"/>
      <c r="AB630" s="61"/>
      <c r="AC630" s="61"/>
      <c r="AD630" s="61"/>
      <c r="AE630" s="61"/>
      <c r="AF630" s="61"/>
      <c r="AG630" s="61"/>
      <c r="AH630" s="61"/>
      <c r="AI630" s="61"/>
      <c r="AJ630" s="61"/>
      <c r="AK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2"/>
      <c r="W631" s="61"/>
      <c r="X631" s="61"/>
      <c r="Y631" s="61"/>
      <c r="Z631" s="61"/>
      <c r="AA631" s="61"/>
      <c r="AB631" s="61"/>
      <c r="AC631" s="61"/>
      <c r="AD631" s="61"/>
      <c r="AE631" s="61"/>
      <c r="AF631" s="61"/>
      <c r="AG631" s="61"/>
      <c r="AH631" s="61"/>
      <c r="AI631" s="61"/>
      <c r="AJ631" s="61"/>
      <c r="AK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2"/>
      <c r="W632" s="61"/>
      <c r="X632" s="61"/>
      <c r="Y632" s="61"/>
      <c r="Z632" s="61"/>
      <c r="AA632" s="61"/>
      <c r="AB632" s="61"/>
      <c r="AC632" s="61"/>
      <c r="AD632" s="61"/>
      <c r="AE632" s="61"/>
      <c r="AF632" s="61"/>
      <c r="AG632" s="61"/>
      <c r="AH632" s="61"/>
      <c r="AI632" s="61"/>
      <c r="AJ632" s="61"/>
      <c r="AK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2"/>
      <c r="W633" s="61"/>
      <c r="X633" s="61"/>
      <c r="Y633" s="61"/>
      <c r="Z633" s="61"/>
      <c r="AA633" s="61"/>
      <c r="AB633" s="61"/>
      <c r="AC633" s="61"/>
      <c r="AD633" s="61"/>
      <c r="AE633" s="61"/>
      <c r="AF633" s="61"/>
      <c r="AG633" s="61"/>
      <c r="AH633" s="61"/>
      <c r="AI633" s="61"/>
      <c r="AJ633" s="61"/>
      <c r="AK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2"/>
      <c r="W634" s="61"/>
      <c r="X634" s="61"/>
      <c r="Y634" s="61"/>
      <c r="Z634" s="61"/>
      <c r="AA634" s="61"/>
      <c r="AB634" s="61"/>
      <c r="AC634" s="61"/>
      <c r="AD634" s="61"/>
      <c r="AE634" s="61"/>
      <c r="AF634" s="61"/>
      <c r="AG634" s="61"/>
      <c r="AH634" s="61"/>
      <c r="AI634" s="61"/>
      <c r="AJ634" s="61"/>
      <c r="AK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2"/>
      <c r="W635" s="61"/>
      <c r="X635" s="61"/>
      <c r="Y635" s="61"/>
      <c r="Z635" s="61"/>
      <c r="AA635" s="61"/>
      <c r="AB635" s="61"/>
      <c r="AC635" s="61"/>
      <c r="AD635" s="61"/>
      <c r="AE635" s="61"/>
      <c r="AF635" s="61"/>
      <c r="AG635" s="61"/>
      <c r="AH635" s="61"/>
      <c r="AI635" s="61"/>
      <c r="AJ635" s="61"/>
      <c r="AK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2"/>
      <c r="W636" s="61"/>
      <c r="X636" s="61"/>
      <c r="Y636" s="61"/>
      <c r="Z636" s="61"/>
      <c r="AA636" s="61"/>
      <c r="AB636" s="61"/>
      <c r="AC636" s="61"/>
      <c r="AD636" s="61"/>
      <c r="AE636" s="61"/>
      <c r="AF636" s="61"/>
      <c r="AG636" s="61"/>
      <c r="AH636" s="61"/>
      <c r="AI636" s="61"/>
      <c r="AJ636" s="61"/>
      <c r="AK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2"/>
      <c r="W637" s="61"/>
      <c r="X637" s="61"/>
      <c r="Y637" s="61"/>
      <c r="Z637" s="61"/>
      <c r="AA637" s="61"/>
      <c r="AB637" s="61"/>
      <c r="AC637" s="61"/>
      <c r="AD637" s="61"/>
      <c r="AE637" s="61"/>
      <c r="AF637" s="61"/>
      <c r="AG637" s="61"/>
      <c r="AH637" s="61"/>
      <c r="AI637" s="61"/>
      <c r="AJ637" s="61"/>
      <c r="AK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2"/>
      <c r="W638" s="61"/>
      <c r="X638" s="61"/>
      <c r="Y638" s="61"/>
      <c r="Z638" s="61"/>
      <c r="AA638" s="61"/>
      <c r="AB638" s="61"/>
      <c r="AC638" s="61"/>
      <c r="AD638" s="61"/>
      <c r="AE638" s="61"/>
      <c r="AF638" s="61"/>
      <c r="AG638" s="61"/>
      <c r="AH638" s="61"/>
      <c r="AI638" s="61"/>
      <c r="AJ638" s="61"/>
      <c r="AK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2"/>
      <c r="W639" s="61"/>
      <c r="X639" s="61"/>
      <c r="Y639" s="61"/>
      <c r="Z639" s="61"/>
      <c r="AA639" s="61"/>
      <c r="AB639" s="61"/>
      <c r="AC639" s="61"/>
      <c r="AD639" s="61"/>
      <c r="AE639" s="61"/>
      <c r="AF639" s="61"/>
      <c r="AG639" s="61"/>
      <c r="AH639" s="61"/>
      <c r="AI639" s="61"/>
      <c r="AJ639" s="61"/>
      <c r="AK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2"/>
      <c r="W640" s="61"/>
      <c r="X640" s="61"/>
      <c r="Y640" s="61"/>
      <c r="Z640" s="61"/>
      <c r="AA640" s="61"/>
      <c r="AB640" s="61"/>
      <c r="AC640" s="61"/>
      <c r="AD640" s="61"/>
      <c r="AE640" s="61"/>
      <c r="AF640" s="61"/>
      <c r="AG640" s="61"/>
      <c r="AH640" s="61"/>
      <c r="AI640" s="61"/>
      <c r="AJ640" s="61"/>
      <c r="AK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2"/>
      <c r="W641" s="61"/>
      <c r="X641" s="61"/>
      <c r="Y641" s="61"/>
      <c r="Z641" s="61"/>
      <c r="AA641" s="61"/>
      <c r="AB641" s="61"/>
      <c r="AC641" s="61"/>
      <c r="AD641" s="61"/>
      <c r="AE641" s="61"/>
      <c r="AF641" s="61"/>
      <c r="AG641" s="61"/>
      <c r="AH641" s="61"/>
      <c r="AI641" s="61"/>
      <c r="AJ641" s="61"/>
      <c r="AK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2"/>
      <c r="W642" s="61"/>
      <c r="X642" s="61"/>
      <c r="Y642" s="61"/>
      <c r="Z642" s="61"/>
      <c r="AA642" s="61"/>
      <c r="AB642" s="61"/>
      <c r="AC642" s="61"/>
      <c r="AD642" s="61"/>
      <c r="AE642" s="61"/>
      <c r="AF642" s="61"/>
      <c r="AG642" s="61"/>
      <c r="AH642" s="61"/>
      <c r="AI642" s="61"/>
      <c r="AJ642" s="61"/>
      <c r="AK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2"/>
      <c r="W643" s="61"/>
      <c r="X643" s="61"/>
      <c r="Y643" s="61"/>
      <c r="Z643" s="61"/>
      <c r="AA643" s="61"/>
      <c r="AB643" s="61"/>
      <c r="AC643" s="61"/>
      <c r="AD643" s="61"/>
      <c r="AE643" s="61"/>
      <c r="AF643" s="61"/>
      <c r="AG643" s="61"/>
      <c r="AH643" s="61"/>
      <c r="AI643" s="61"/>
      <c r="AJ643" s="61"/>
      <c r="AK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2"/>
      <c r="W644" s="61"/>
      <c r="X644" s="61"/>
      <c r="Y644" s="61"/>
      <c r="Z644" s="61"/>
      <c r="AA644" s="61"/>
      <c r="AB644" s="61"/>
      <c r="AC644" s="61"/>
      <c r="AD644" s="61"/>
      <c r="AE644" s="61"/>
      <c r="AF644" s="61"/>
      <c r="AG644" s="61"/>
      <c r="AH644" s="61"/>
      <c r="AI644" s="61"/>
      <c r="AJ644" s="61"/>
      <c r="AK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2"/>
      <c r="W645" s="61"/>
      <c r="X645" s="61"/>
      <c r="Y645" s="61"/>
      <c r="Z645" s="61"/>
      <c r="AA645" s="61"/>
      <c r="AB645" s="61"/>
      <c r="AC645" s="61"/>
      <c r="AD645" s="61"/>
      <c r="AE645" s="61"/>
      <c r="AF645" s="61"/>
      <c r="AG645" s="61"/>
      <c r="AH645" s="61"/>
      <c r="AI645" s="61"/>
      <c r="AJ645" s="61"/>
      <c r="AK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2"/>
      <c r="W646" s="61"/>
      <c r="X646" s="61"/>
      <c r="Y646" s="61"/>
      <c r="Z646" s="61"/>
      <c r="AA646" s="61"/>
      <c r="AB646" s="61"/>
      <c r="AC646" s="61"/>
      <c r="AD646" s="61"/>
      <c r="AE646" s="61"/>
      <c r="AF646" s="61"/>
      <c r="AG646" s="61"/>
      <c r="AH646" s="61"/>
      <c r="AI646" s="61"/>
      <c r="AJ646" s="61"/>
      <c r="AK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2"/>
      <c r="W647" s="61"/>
      <c r="X647" s="61"/>
      <c r="Y647" s="61"/>
      <c r="Z647" s="61"/>
      <c r="AA647" s="61"/>
      <c r="AB647" s="61"/>
      <c r="AC647" s="61"/>
      <c r="AD647" s="61"/>
      <c r="AE647" s="61"/>
      <c r="AF647" s="61"/>
      <c r="AG647" s="61"/>
      <c r="AH647" s="61"/>
      <c r="AI647" s="61"/>
      <c r="AJ647" s="61"/>
      <c r="AK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2"/>
      <c r="W648" s="61"/>
      <c r="X648" s="61"/>
      <c r="Y648" s="61"/>
      <c r="Z648" s="61"/>
      <c r="AA648" s="61"/>
      <c r="AB648" s="61"/>
      <c r="AC648" s="61"/>
      <c r="AD648" s="61"/>
      <c r="AE648" s="61"/>
      <c r="AF648" s="61"/>
      <c r="AG648" s="61"/>
      <c r="AH648" s="61"/>
      <c r="AI648" s="61"/>
      <c r="AJ648" s="61"/>
      <c r="AK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2"/>
      <c r="W649" s="61"/>
      <c r="X649" s="61"/>
      <c r="Y649" s="61"/>
      <c r="Z649" s="61"/>
      <c r="AA649" s="61"/>
      <c r="AB649" s="61"/>
      <c r="AC649" s="61"/>
      <c r="AD649" s="61"/>
      <c r="AE649" s="61"/>
      <c r="AF649" s="61"/>
      <c r="AG649" s="61"/>
      <c r="AH649" s="61"/>
      <c r="AI649" s="61"/>
      <c r="AJ649" s="61"/>
      <c r="AK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2"/>
      <c r="W650" s="61"/>
      <c r="X650" s="61"/>
      <c r="Y650" s="61"/>
      <c r="Z650" s="61"/>
      <c r="AA650" s="61"/>
      <c r="AB650" s="61"/>
      <c r="AC650" s="61"/>
      <c r="AD650" s="61"/>
      <c r="AE650" s="61"/>
      <c r="AF650" s="61"/>
      <c r="AG650" s="61"/>
      <c r="AH650" s="61"/>
      <c r="AI650" s="61"/>
      <c r="AJ650" s="61"/>
      <c r="AK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2"/>
      <c r="W651" s="61"/>
      <c r="X651" s="61"/>
      <c r="Y651" s="61"/>
      <c r="Z651" s="61"/>
      <c r="AA651" s="61"/>
      <c r="AB651" s="61"/>
      <c r="AC651" s="61"/>
      <c r="AD651" s="61"/>
      <c r="AE651" s="61"/>
      <c r="AF651" s="61"/>
      <c r="AG651" s="61"/>
      <c r="AH651" s="61"/>
      <c r="AI651" s="61"/>
      <c r="AJ651" s="61"/>
      <c r="AK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2"/>
      <c r="W652" s="61"/>
      <c r="X652" s="61"/>
      <c r="Y652" s="61"/>
      <c r="Z652" s="61"/>
      <c r="AA652" s="61"/>
      <c r="AB652" s="61"/>
      <c r="AC652" s="61"/>
      <c r="AD652" s="61"/>
      <c r="AE652" s="61"/>
      <c r="AF652" s="61"/>
      <c r="AG652" s="61"/>
      <c r="AH652" s="61"/>
      <c r="AI652" s="61"/>
      <c r="AJ652" s="61"/>
      <c r="AK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2"/>
      <c r="W653" s="61"/>
      <c r="X653" s="61"/>
      <c r="Y653" s="61"/>
      <c r="Z653" s="61"/>
      <c r="AA653" s="61"/>
      <c r="AB653" s="61"/>
      <c r="AC653" s="61"/>
      <c r="AD653" s="61"/>
      <c r="AE653" s="61"/>
      <c r="AF653" s="61"/>
      <c r="AG653" s="61"/>
      <c r="AH653" s="61"/>
      <c r="AI653" s="61"/>
      <c r="AJ653" s="61"/>
      <c r="AK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2"/>
      <c r="W654" s="61"/>
      <c r="X654" s="61"/>
      <c r="Y654" s="61"/>
      <c r="Z654" s="61"/>
      <c r="AA654" s="61"/>
      <c r="AB654" s="61"/>
      <c r="AC654" s="61"/>
      <c r="AD654" s="61"/>
      <c r="AE654" s="61"/>
      <c r="AF654" s="61"/>
      <c r="AG654" s="61"/>
      <c r="AH654" s="61"/>
      <c r="AI654" s="61"/>
      <c r="AJ654" s="61"/>
      <c r="AK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2"/>
      <c r="W655" s="61"/>
      <c r="X655" s="61"/>
      <c r="Y655" s="61"/>
      <c r="Z655" s="61"/>
      <c r="AA655" s="61"/>
      <c r="AB655" s="61"/>
      <c r="AC655" s="61"/>
      <c r="AD655" s="61"/>
      <c r="AE655" s="61"/>
      <c r="AF655" s="61"/>
      <c r="AG655" s="61"/>
      <c r="AH655" s="61"/>
      <c r="AI655" s="61"/>
      <c r="AJ655" s="61"/>
      <c r="AK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2"/>
      <c r="W656" s="61"/>
      <c r="X656" s="61"/>
      <c r="Y656" s="61"/>
      <c r="Z656" s="61"/>
      <c r="AA656" s="61"/>
      <c r="AB656" s="61"/>
      <c r="AC656" s="61"/>
      <c r="AD656" s="61"/>
      <c r="AE656" s="61"/>
      <c r="AF656" s="61"/>
      <c r="AG656" s="61"/>
      <c r="AH656" s="61"/>
      <c r="AI656" s="61"/>
      <c r="AJ656" s="61"/>
      <c r="AK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2"/>
      <c r="W657" s="61"/>
      <c r="X657" s="61"/>
      <c r="Y657" s="61"/>
      <c r="Z657" s="61"/>
      <c r="AA657" s="61"/>
      <c r="AB657" s="61"/>
      <c r="AC657" s="61"/>
      <c r="AD657" s="61"/>
      <c r="AE657" s="61"/>
      <c r="AF657" s="61"/>
      <c r="AG657" s="61"/>
      <c r="AH657" s="61"/>
      <c r="AI657" s="61"/>
      <c r="AJ657" s="61"/>
      <c r="AK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2"/>
      <c r="W658" s="61"/>
      <c r="X658" s="61"/>
      <c r="Y658" s="61"/>
      <c r="Z658" s="61"/>
      <c r="AA658" s="61"/>
      <c r="AB658" s="61"/>
      <c r="AC658" s="61"/>
      <c r="AD658" s="61"/>
      <c r="AE658" s="61"/>
      <c r="AF658" s="61"/>
      <c r="AG658" s="61"/>
      <c r="AH658" s="61"/>
      <c r="AI658" s="61"/>
      <c r="AJ658" s="61"/>
      <c r="AK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2"/>
      <c r="W659" s="61"/>
      <c r="X659" s="61"/>
      <c r="Y659" s="61"/>
      <c r="Z659" s="61"/>
      <c r="AA659" s="61"/>
      <c r="AB659" s="61"/>
      <c r="AC659" s="61"/>
      <c r="AD659" s="61"/>
      <c r="AE659" s="61"/>
      <c r="AF659" s="61"/>
      <c r="AG659" s="61"/>
      <c r="AH659" s="61"/>
      <c r="AI659" s="61"/>
      <c r="AJ659" s="61"/>
      <c r="AK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2"/>
      <c r="W660" s="61"/>
      <c r="X660" s="61"/>
      <c r="Y660" s="61"/>
      <c r="Z660" s="61"/>
      <c r="AA660" s="61"/>
      <c r="AB660" s="61"/>
      <c r="AC660" s="61"/>
      <c r="AD660" s="61"/>
      <c r="AE660" s="61"/>
      <c r="AF660" s="61"/>
      <c r="AG660" s="61"/>
      <c r="AH660" s="61"/>
      <c r="AI660" s="61"/>
      <c r="AJ660" s="61"/>
      <c r="AK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2"/>
      <c r="W661" s="61"/>
      <c r="X661" s="61"/>
      <c r="Y661" s="61"/>
      <c r="Z661" s="61"/>
      <c r="AA661" s="61"/>
      <c r="AB661" s="61"/>
      <c r="AC661" s="61"/>
      <c r="AD661" s="61"/>
      <c r="AE661" s="61"/>
      <c r="AF661" s="61"/>
      <c r="AG661" s="61"/>
      <c r="AH661" s="61"/>
      <c r="AI661" s="61"/>
      <c r="AJ661" s="61"/>
      <c r="AK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2"/>
      <c r="W662" s="61"/>
      <c r="X662" s="61"/>
      <c r="Y662" s="61"/>
      <c r="Z662" s="61"/>
      <c r="AA662" s="61"/>
      <c r="AB662" s="61"/>
      <c r="AC662" s="61"/>
      <c r="AD662" s="61"/>
      <c r="AE662" s="61"/>
      <c r="AF662" s="61"/>
      <c r="AG662" s="61"/>
      <c r="AH662" s="61"/>
      <c r="AI662" s="61"/>
      <c r="AJ662" s="61"/>
      <c r="AK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2"/>
      <c r="W663" s="61"/>
      <c r="X663" s="61"/>
      <c r="Y663" s="61"/>
      <c r="Z663" s="61"/>
      <c r="AA663" s="61"/>
      <c r="AB663" s="61"/>
      <c r="AC663" s="61"/>
      <c r="AD663" s="61"/>
      <c r="AE663" s="61"/>
      <c r="AF663" s="61"/>
      <c r="AG663" s="61"/>
      <c r="AH663" s="61"/>
      <c r="AI663" s="61"/>
      <c r="AJ663" s="61"/>
      <c r="AK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2"/>
      <c r="W664" s="61"/>
      <c r="X664" s="61"/>
      <c r="Y664" s="61"/>
      <c r="Z664" s="61"/>
      <c r="AA664" s="61"/>
      <c r="AB664" s="61"/>
      <c r="AC664" s="61"/>
      <c r="AD664" s="61"/>
      <c r="AE664" s="61"/>
      <c r="AF664" s="61"/>
      <c r="AG664" s="61"/>
      <c r="AH664" s="61"/>
      <c r="AI664" s="61"/>
      <c r="AJ664" s="61"/>
      <c r="AK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2"/>
      <c r="W665" s="61"/>
      <c r="X665" s="61"/>
      <c r="Y665" s="61"/>
      <c r="Z665" s="61"/>
      <c r="AA665" s="61"/>
      <c r="AB665" s="61"/>
      <c r="AC665" s="61"/>
      <c r="AD665" s="61"/>
      <c r="AE665" s="61"/>
      <c r="AF665" s="61"/>
      <c r="AG665" s="61"/>
      <c r="AH665" s="61"/>
      <c r="AI665" s="61"/>
      <c r="AJ665" s="61"/>
      <c r="AK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2"/>
      <c r="W666" s="61"/>
      <c r="X666" s="61"/>
      <c r="Y666" s="61"/>
      <c r="Z666" s="61"/>
      <c r="AA666" s="61"/>
      <c r="AB666" s="61"/>
      <c r="AC666" s="61"/>
      <c r="AD666" s="61"/>
      <c r="AE666" s="61"/>
      <c r="AF666" s="61"/>
      <c r="AG666" s="61"/>
      <c r="AH666" s="61"/>
      <c r="AI666" s="61"/>
      <c r="AJ666" s="61"/>
      <c r="AK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2"/>
      <c r="W667" s="61"/>
      <c r="X667" s="61"/>
      <c r="Y667" s="61"/>
      <c r="Z667" s="61"/>
      <c r="AA667" s="61"/>
      <c r="AB667" s="61"/>
      <c r="AC667" s="61"/>
      <c r="AD667" s="61"/>
      <c r="AE667" s="61"/>
      <c r="AF667" s="61"/>
      <c r="AG667" s="61"/>
      <c r="AH667" s="61"/>
      <c r="AI667" s="61"/>
      <c r="AJ667" s="61"/>
      <c r="AK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2"/>
      <c r="W668" s="61"/>
      <c r="X668" s="61"/>
      <c r="Y668" s="61"/>
      <c r="Z668" s="61"/>
      <c r="AA668" s="61"/>
      <c r="AB668" s="61"/>
      <c r="AC668" s="61"/>
      <c r="AD668" s="61"/>
      <c r="AE668" s="61"/>
      <c r="AF668" s="61"/>
      <c r="AG668" s="61"/>
      <c r="AH668" s="61"/>
      <c r="AI668" s="61"/>
      <c r="AJ668" s="61"/>
      <c r="AK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2"/>
      <c r="W669" s="61"/>
      <c r="X669" s="61"/>
      <c r="Y669" s="61"/>
      <c r="Z669" s="61"/>
      <c r="AA669" s="61"/>
      <c r="AB669" s="61"/>
      <c r="AC669" s="61"/>
      <c r="AD669" s="61"/>
      <c r="AE669" s="61"/>
      <c r="AF669" s="61"/>
      <c r="AG669" s="61"/>
      <c r="AH669" s="61"/>
      <c r="AI669" s="61"/>
      <c r="AJ669" s="61"/>
      <c r="AK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2"/>
      <c r="W670" s="61"/>
      <c r="X670" s="61"/>
      <c r="Y670" s="61"/>
      <c r="Z670" s="61"/>
      <c r="AA670" s="61"/>
      <c r="AB670" s="61"/>
      <c r="AC670" s="61"/>
      <c r="AD670" s="61"/>
      <c r="AE670" s="61"/>
      <c r="AF670" s="61"/>
      <c r="AG670" s="61"/>
      <c r="AH670" s="61"/>
      <c r="AI670" s="61"/>
      <c r="AJ670" s="61"/>
      <c r="AK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2"/>
      <c r="W671" s="61"/>
      <c r="X671" s="61"/>
      <c r="Y671" s="61"/>
      <c r="Z671" s="61"/>
      <c r="AA671" s="61"/>
      <c r="AB671" s="61"/>
      <c r="AC671" s="61"/>
      <c r="AD671" s="61"/>
      <c r="AE671" s="61"/>
      <c r="AF671" s="61"/>
      <c r="AG671" s="61"/>
      <c r="AH671" s="61"/>
      <c r="AI671" s="61"/>
      <c r="AJ671" s="61"/>
      <c r="AK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2"/>
      <c r="W672" s="61"/>
      <c r="X672" s="61"/>
      <c r="Y672" s="61"/>
      <c r="Z672" s="61"/>
      <c r="AA672" s="61"/>
      <c r="AB672" s="61"/>
      <c r="AC672" s="61"/>
      <c r="AD672" s="61"/>
      <c r="AE672" s="61"/>
      <c r="AF672" s="61"/>
      <c r="AG672" s="61"/>
      <c r="AH672" s="61"/>
      <c r="AI672" s="61"/>
      <c r="AJ672" s="61"/>
      <c r="AK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2"/>
      <c r="W673" s="61"/>
      <c r="X673" s="61"/>
      <c r="Y673" s="61"/>
      <c r="Z673" s="61"/>
      <c r="AA673" s="61"/>
      <c r="AB673" s="61"/>
      <c r="AC673" s="61"/>
      <c r="AD673" s="61"/>
      <c r="AE673" s="61"/>
      <c r="AF673" s="61"/>
      <c r="AG673" s="61"/>
      <c r="AH673" s="61"/>
      <c r="AI673" s="61"/>
      <c r="AJ673" s="61"/>
      <c r="AK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2"/>
      <c r="W674" s="61"/>
      <c r="X674" s="61"/>
      <c r="Y674" s="61"/>
      <c r="Z674" s="61"/>
      <c r="AA674" s="61"/>
      <c r="AB674" s="61"/>
      <c r="AC674" s="61"/>
      <c r="AD674" s="61"/>
      <c r="AE674" s="61"/>
      <c r="AF674" s="61"/>
      <c r="AG674" s="61"/>
      <c r="AH674" s="61"/>
      <c r="AI674" s="61"/>
      <c r="AJ674" s="61"/>
      <c r="AK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2"/>
      <c r="W675" s="61"/>
      <c r="X675" s="61"/>
      <c r="Y675" s="61"/>
      <c r="Z675" s="61"/>
      <c r="AA675" s="61"/>
      <c r="AB675" s="61"/>
      <c r="AC675" s="61"/>
      <c r="AD675" s="61"/>
      <c r="AE675" s="61"/>
      <c r="AF675" s="61"/>
      <c r="AG675" s="61"/>
      <c r="AH675" s="61"/>
      <c r="AI675" s="61"/>
      <c r="AJ675" s="61"/>
      <c r="AK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2"/>
      <c r="W676" s="61"/>
      <c r="X676" s="61"/>
      <c r="Y676" s="61"/>
      <c r="Z676" s="61"/>
      <c r="AA676" s="61"/>
      <c r="AB676" s="61"/>
      <c r="AC676" s="61"/>
      <c r="AD676" s="61"/>
      <c r="AE676" s="61"/>
      <c r="AF676" s="61"/>
      <c r="AG676" s="61"/>
      <c r="AH676" s="61"/>
      <c r="AI676" s="61"/>
      <c r="AJ676" s="61"/>
      <c r="AK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2"/>
      <c r="W677" s="61"/>
      <c r="X677" s="61"/>
      <c r="Y677" s="61"/>
      <c r="Z677" s="61"/>
      <c r="AA677" s="61"/>
      <c r="AB677" s="61"/>
      <c r="AC677" s="61"/>
      <c r="AD677" s="61"/>
      <c r="AE677" s="61"/>
      <c r="AF677" s="61"/>
      <c r="AG677" s="61"/>
      <c r="AH677" s="61"/>
      <c r="AI677" s="61"/>
      <c r="AJ677" s="61"/>
      <c r="AK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2"/>
      <c r="W678" s="61"/>
      <c r="X678" s="61"/>
      <c r="Y678" s="61"/>
      <c r="Z678" s="61"/>
      <c r="AA678" s="61"/>
      <c r="AB678" s="61"/>
      <c r="AC678" s="61"/>
      <c r="AD678" s="61"/>
      <c r="AE678" s="61"/>
      <c r="AF678" s="61"/>
      <c r="AG678" s="61"/>
      <c r="AH678" s="61"/>
      <c r="AI678" s="61"/>
      <c r="AJ678" s="61"/>
      <c r="AK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2"/>
      <c r="W679" s="61"/>
      <c r="X679" s="61"/>
      <c r="Y679" s="61"/>
      <c r="Z679" s="61"/>
      <c r="AA679" s="61"/>
      <c r="AB679" s="61"/>
      <c r="AC679" s="61"/>
      <c r="AD679" s="61"/>
      <c r="AE679" s="61"/>
      <c r="AF679" s="61"/>
      <c r="AG679" s="61"/>
      <c r="AH679" s="61"/>
      <c r="AI679" s="61"/>
      <c r="AJ679" s="61"/>
      <c r="AK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2"/>
      <c r="W680" s="61"/>
      <c r="X680" s="61"/>
      <c r="Y680" s="61"/>
      <c r="Z680" s="61"/>
      <c r="AA680" s="61"/>
      <c r="AB680" s="61"/>
      <c r="AC680" s="61"/>
      <c r="AD680" s="61"/>
      <c r="AE680" s="61"/>
      <c r="AF680" s="61"/>
      <c r="AG680" s="61"/>
      <c r="AH680" s="61"/>
      <c r="AI680" s="61"/>
      <c r="AJ680" s="61"/>
      <c r="AK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2"/>
      <c r="W681" s="61"/>
      <c r="X681" s="61"/>
      <c r="Y681" s="61"/>
      <c r="Z681" s="61"/>
      <c r="AA681" s="61"/>
      <c r="AB681" s="61"/>
      <c r="AC681" s="61"/>
      <c r="AD681" s="61"/>
      <c r="AE681" s="61"/>
      <c r="AF681" s="61"/>
      <c r="AG681" s="61"/>
      <c r="AH681" s="61"/>
      <c r="AI681" s="61"/>
      <c r="AJ681" s="61"/>
      <c r="AK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2"/>
      <c r="W682" s="61"/>
      <c r="X682" s="61"/>
      <c r="Y682" s="61"/>
      <c r="Z682" s="61"/>
      <c r="AA682" s="61"/>
      <c r="AB682" s="61"/>
      <c r="AC682" s="61"/>
      <c r="AD682" s="61"/>
      <c r="AE682" s="61"/>
      <c r="AF682" s="61"/>
      <c r="AG682" s="61"/>
      <c r="AH682" s="61"/>
      <c r="AI682" s="61"/>
      <c r="AJ682" s="61"/>
      <c r="AK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2"/>
      <c r="W683" s="61"/>
      <c r="X683" s="61"/>
      <c r="Y683" s="61"/>
      <c r="Z683" s="61"/>
      <c r="AA683" s="61"/>
      <c r="AB683" s="61"/>
      <c r="AC683" s="61"/>
      <c r="AD683" s="61"/>
      <c r="AE683" s="61"/>
      <c r="AF683" s="61"/>
      <c r="AG683" s="61"/>
      <c r="AH683" s="61"/>
      <c r="AI683" s="61"/>
      <c r="AJ683" s="61"/>
      <c r="AK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2"/>
      <c r="W684" s="61"/>
      <c r="X684" s="61"/>
      <c r="Y684" s="61"/>
      <c r="Z684" s="61"/>
      <c r="AA684" s="61"/>
      <c r="AB684" s="61"/>
      <c r="AC684" s="61"/>
      <c r="AD684" s="61"/>
      <c r="AE684" s="61"/>
      <c r="AF684" s="61"/>
      <c r="AG684" s="61"/>
      <c r="AH684" s="61"/>
      <c r="AI684" s="61"/>
      <c r="AJ684" s="61"/>
      <c r="AK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2"/>
      <c r="W685" s="61"/>
      <c r="X685" s="61"/>
      <c r="Y685" s="61"/>
      <c r="Z685" s="61"/>
      <c r="AA685" s="61"/>
      <c r="AB685" s="61"/>
      <c r="AC685" s="61"/>
      <c r="AD685" s="61"/>
      <c r="AE685" s="61"/>
      <c r="AF685" s="61"/>
      <c r="AG685" s="61"/>
      <c r="AH685" s="61"/>
      <c r="AI685" s="61"/>
      <c r="AJ685" s="61"/>
      <c r="AK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2"/>
      <c r="W686" s="61"/>
      <c r="X686" s="61"/>
      <c r="Y686" s="61"/>
      <c r="Z686" s="61"/>
      <c r="AA686" s="61"/>
      <c r="AB686" s="61"/>
      <c r="AC686" s="61"/>
      <c r="AD686" s="61"/>
      <c r="AE686" s="61"/>
      <c r="AF686" s="61"/>
      <c r="AG686" s="61"/>
      <c r="AH686" s="61"/>
      <c r="AI686" s="61"/>
      <c r="AJ686" s="61"/>
      <c r="AK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2"/>
      <c r="W687" s="61"/>
      <c r="X687" s="61"/>
      <c r="Y687" s="61"/>
      <c r="Z687" s="61"/>
      <c r="AA687" s="61"/>
      <c r="AB687" s="61"/>
      <c r="AC687" s="61"/>
      <c r="AD687" s="61"/>
      <c r="AE687" s="61"/>
      <c r="AF687" s="61"/>
      <c r="AG687" s="61"/>
      <c r="AH687" s="61"/>
      <c r="AI687" s="61"/>
      <c r="AJ687" s="61"/>
      <c r="AK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2"/>
      <c r="W688" s="61"/>
      <c r="X688" s="61"/>
      <c r="Y688" s="61"/>
      <c r="Z688" s="61"/>
      <c r="AA688" s="61"/>
      <c r="AB688" s="61"/>
      <c r="AC688" s="61"/>
      <c r="AD688" s="61"/>
      <c r="AE688" s="61"/>
      <c r="AF688" s="61"/>
      <c r="AG688" s="61"/>
      <c r="AH688" s="61"/>
      <c r="AI688" s="61"/>
      <c r="AJ688" s="61"/>
      <c r="AK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2"/>
      <c r="W689" s="61"/>
      <c r="X689" s="61"/>
      <c r="Y689" s="61"/>
      <c r="Z689" s="61"/>
      <c r="AA689" s="61"/>
      <c r="AB689" s="61"/>
      <c r="AC689" s="61"/>
      <c r="AD689" s="61"/>
      <c r="AE689" s="61"/>
      <c r="AF689" s="61"/>
      <c r="AG689" s="61"/>
      <c r="AH689" s="61"/>
      <c r="AI689" s="61"/>
      <c r="AJ689" s="61"/>
      <c r="AK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2"/>
      <c r="W690" s="61"/>
      <c r="X690" s="61"/>
      <c r="Y690" s="61"/>
      <c r="Z690" s="61"/>
      <c r="AA690" s="61"/>
      <c r="AB690" s="61"/>
      <c r="AC690" s="61"/>
      <c r="AD690" s="61"/>
      <c r="AE690" s="61"/>
      <c r="AF690" s="61"/>
      <c r="AG690" s="61"/>
      <c r="AH690" s="61"/>
      <c r="AI690" s="61"/>
      <c r="AJ690" s="61"/>
      <c r="AK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2"/>
      <c r="W691" s="61"/>
      <c r="X691" s="61"/>
      <c r="Y691" s="61"/>
      <c r="Z691" s="61"/>
      <c r="AA691" s="61"/>
      <c r="AB691" s="61"/>
      <c r="AC691" s="61"/>
      <c r="AD691" s="61"/>
      <c r="AE691" s="61"/>
      <c r="AF691" s="61"/>
      <c r="AG691" s="61"/>
      <c r="AH691" s="61"/>
      <c r="AI691" s="61"/>
      <c r="AJ691" s="61"/>
      <c r="AK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2"/>
      <c r="W692" s="61"/>
      <c r="X692" s="61"/>
      <c r="Y692" s="61"/>
      <c r="Z692" s="61"/>
      <c r="AA692" s="61"/>
      <c r="AB692" s="61"/>
      <c r="AC692" s="61"/>
      <c r="AD692" s="61"/>
      <c r="AE692" s="61"/>
      <c r="AF692" s="61"/>
      <c r="AG692" s="61"/>
      <c r="AH692" s="61"/>
      <c r="AI692" s="61"/>
      <c r="AJ692" s="61"/>
      <c r="AK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2"/>
      <c r="W693" s="61"/>
      <c r="X693" s="61"/>
      <c r="Y693" s="61"/>
      <c r="Z693" s="61"/>
      <c r="AA693" s="61"/>
      <c r="AB693" s="61"/>
      <c r="AC693" s="61"/>
      <c r="AD693" s="61"/>
      <c r="AE693" s="61"/>
      <c r="AF693" s="61"/>
      <c r="AG693" s="61"/>
      <c r="AH693" s="61"/>
      <c r="AI693" s="61"/>
      <c r="AJ693" s="61"/>
      <c r="AK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2"/>
      <c r="W694" s="61"/>
      <c r="X694" s="61"/>
      <c r="Y694" s="61"/>
      <c r="Z694" s="61"/>
      <c r="AA694" s="61"/>
      <c r="AB694" s="61"/>
      <c r="AC694" s="61"/>
      <c r="AD694" s="61"/>
      <c r="AE694" s="61"/>
      <c r="AF694" s="61"/>
      <c r="AG694" s="61"/>
      <c r="AH694" s="61"/>
      <c r="AI694" s="61"/>
      <c r="AJ694" s="61"/>
      <c r="AK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2"/>
      <c r="W695" s="61"/>
      <c r="X695" s="61"/>
      <c r="Y695" s="61"/>
      <c r="Z695" s="61"/>
      <c r="AA695" s="61"/>
      <c r="AB695" s="61"/>
      <c r="AC695" s="61"/>
      <c r="AD695" s="61"/>
      <c r="AE695" s="61"/>
      <c r="AF695" s="61"/>
      <c r="AG695" s="61"/>
      <c r="AH695" s="61"/>
      <c r="AI695" s="61"/>
      <c r="AJ695" s="61"/>
      <c r="AK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2"/>
      <c r="W696" s="61"/>
      <c r="X696" s="61"/>
      <c r="Y696" s="61"/>
      <c r="Z696" s="61"/>
      <c r="AA696" s="61"/>
      <c r="AB696" s="61"/>
      <c r="AC696" s="61"/>
      <c r="AD696" s="61"/>
      <c r="AE696" s="61"/>
      <c r="AF696" s="61"/>
      <c r="AG696" s="61"/>
      <c r="AH696" s="61"/>
      <c r="AI696" s="61"/>
      <c r="AJ696" s="61"/>
      <c r="AK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2"/>
      <c r="W697" s="61"/>
      <c r="X697" s="61"/>
      <c r="Y697" s="61"/>
      <c r="Z697" s="61"/>
      <c r="AA697" s="61"/>
      <c r="AB697" s="61"/>
      <c r="AC697" s="61"/>
      <c r="AD697" s="61"/>
      <c r="AE697" s="61"/>
      <c r="AF697" s="61"/>
      <c r="AG697" s="61"/>
      <c r="AH697" s="61"/>
      <c r="AI697" s="61"/>
      <c r="AJ697" s="61"/>
      <c r="AK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2"/>
      <c r="W698" s="61"/>
      <c r="X698" s="61"/>
      <c r="Y698" s="61"/>
      <c r="Z698" s="61"/>
      <c r="AA698" s="61"/>
      <c r="AB698" s="61"/>
      <c r="AC698" s="61"/>
      <c r="AD698" s="61"/>
      <c r="AE698" s="61"/>
      <c r="AF698" s="61"/>
      <c r="AG698" s="61"/>
      <c r="AH698" s="61"/>
      <c r="AI698" s="61"/>
      <c r="AJ698" s="61"/>
      <c r="AK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2"/>
      <c r="W699" s="61"/>
      <c r="X699" s="61"/>
      <c r="Y699" s="61"/>
      <c r="Z699" s="61"/>
      <c r="AA699" s="61"/>
      <c r="AB699" s="61"/>
      <c r="AC699" s="61"/>
      <c r="AD699" s="61"/>
      <c r="AE699" s="61"/>
      <c r="AF699" s="61"/>
      <c r="AG699" s="61"/>
      <c r="AH699" s="61"/>
      <c r="AI699" s="61"/>
      <c r="AJ699" s="61"/>
      <c r="AK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2"/>
      <c r="W700" s="61"/>
      <c r="X700" s="61"/>
      <c r="Y700" s="61"/>
      <c r="Z700" s="61"/>
      <c r="AA700" s="61"/>
      <c r="AB700" s="61"/>
      <c r="AC700" s="61"/>
      <c r="AD700" s="61"/>
      <c r="AE700" s="61"/>
      <c r="AF700" s="61"/>
      <c r="AG700" s="61"/>
      <c r="AH700" s="61"/>
      <c r="AI700" s="61"/>
      <c r="AJ700" s="61"/>
      <c r="AK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2"/>
      <c r="W701" s="61"/>
      <c r="X701" s="61"/>
      <c r="Y701" s="61"/>
      <c r="Z701" s="61"/>
      <c r="AA701" s="61"/>
      <c r="AB701" s="61"/>
      <c r="AC701" s="61"/>
      <c r="AD701" s="61"/>
      <c r="AE701" s="61"/>
      <c r="AF701" s="61"/>
      <c r="AG701" s="61"/>
      <c r="AH701" s="61"/>
      <c r="AI701" s="61"/>
      <c r="AJ701" s="61"/>
      <c r="AK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2"/>
      <c r="W702" s="61"/>
      <c r="X702" s="61"/>
      <c r="Y702" s="61"/>
      <c r="Z702" s="61"/>
      <c r="AA702" s="61"/>
      <c r="AB702" s="61"/>
      <c r="AC702" s="61"/>
      <c r="AD702" s="61"/>
      <c r="AE702" s="61"/>
      <c r="AF702" s="61"/>
      <c r="AG702" s="61"/>
      <c r="AH702" s="61"/>
      <c r="AI702" s="61"/>
      <c r="AJ702" s="61"/>
      <c r="AK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2"/>
      <c r="W703" s="61"/>
      <c r="X703" s="61"/>
      <c r="Y703" s="61"/>
      <c r="Z703" s="61"/>
      <c r="AA703" s="61"/>
      <c r="AB703" s="61"/>
      <c r="AC703" s="61"/>
      <c r="AD703" s="61"/>
      <c r="AE703" s="61"/>
      <c r="AF703" s="61"/>
      <c r="AG703" s="61"/>
      <c r="AH703" s="61"/>
      <c r="AI703" s="61"/>
      <c r="AJ703" s="61"/>
      <c r="AK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2"/>
      <c r="W704" s="61"/>
      <c r="X704" s="61"/>
      <c r="Y704" s="61"/>
      <c r="Z704" s="61"/>
      <c r="AA704" s="61"/>
      <c r="AB704" s="61"/>
      <c r="AC704" s="61"/>
      <c r="AD704" s="61"/>
      <c r="AE704" s="61"/>
      <c r="AF704" s="61"/>
      <c r="AG704" s="61"/>
      <c r="AH704" s="61"/>
      <c r="AI704" s="61"/>
      <c r="AJ704" s="61"/>
      <c r="AK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2"/>
      <c r="W705" s="61"/>
      <c r="X705" s="61"/>
      <c r="Y705" s="61"/>
      <c r="Z705" s="61"/>
      <c r="AA705" s="61"/>
      <c r="AB705" s="61"/>
      <c r="AC705" s="61"/>
      <c r="AD705" s="61"/>
      <c r="AE705" s="61"/>
      <c r="AF705" s="61"/>
      <c r="AG705" s="61"/>
      <c r="AH705" s="61"/>
      <c r="AI705" s="61"/>
      <c r="AJ705" s="61"/>
      <c r="AK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2"/>
      <c r="W706" s="61"/>
      <c r="X706" s="61"/>
      <c r="Y706" s="61"/>
      <c r="Z706" s="61"/>
      <c r="AA706" s="61"/>
      <c r="AB706" s="61"/>
      <c r="AC706" s="61"/>
      <c r="AD706" s="61"/>
      <c r="AE706" s="61"/>
      <c r="AF706" s="61"/>
      <c r="AG706" s="61"/>
      <c r="AH706" s="61"/>
      <c r="AI706" s="61"/>
      <c r="AJ706" s="61"/>
      <c r="AK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2"/>
      <c r="W707" s="61"/>
      <c r="X707" s="61"/>
      <c r="Y707" s="61"/>
      <c r="Z707" s="61"/>
      <c r="AA707" s="61"/>
      <c r="AB707" s="61"/>
      <c r="AC707" s="61"/>
      <c r="AD707" s="61"/>
      <c r="AE707" s="61"/>
      <c r="AF707" s="61"/>
      <c r="AG707" s="61"/>
      <c r="AH707" s="61"/>
      <c r="AI707" s="61"/>
      <c r="AJ707" s="61"/>
      <c r="AK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2"/>
      <c r="W708" s="61"/>
      <c r="X708" s="61"/>
      <c r="Y708" s="61"/>
      <c r="Z708" s="61"/>
      <c r="AA708" s="61"/>
      <c r="AB708" s="61"/>
      <c r="AC708" s="61"/>
      <c r="AD708" s="61"/>
      <c r="AE708" s="61"/>
      <c r="AF708" s="61"/>
      <c r="AG708" s="61"/>
      <c r="AH708" s="61"/>
      <c r="AI708" s="61"/>
      <c r="AJ708" s="61"/>
      <c r="AK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2"/>
      <c r="W709" s="61"/>
      <c r="X709" s="61"/>
      <c r="Y709" s="61"/>
      <c r="Z709" s="61"/>
      <c r="AA709" s="61"/>
      <c r="AB709" s="61"/>
      <c r="AC709" s="61"/>
      <c r="AD709" s="61"/>
      <c r="AE709" s="61"/>
      <c r="AF709" s="61"/>
      <c r="AG709" s="61"/>
      <c r="AH709" s="61"/>
      <c r="AI709" s="61"/>
      <c r="AJ709" s="61"/>
      <c r="AK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2"/>
      <c r="W710" s="61"/>
      <c r="X710" s="61"/>
      <c r="Y710" s="61"/>
      <c r="Z710" s="61"/>
      <c r="AA710" s="61"/>
      <c r="AB710" s="61"/>
      <c r="AC710" s="61"/>
      <c r="AD710" s="61"/>
      <c r="AE710" s="61"/>
      <c r="AF710" s="61"/>
      <c r="AG710" s="61"/>
      <c r="AH710" s="61"/>
      <c r="AI710" s="61"/>
      <c r="AJ710" s="61"/>
      <c r="AK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2"/>
      <c r="W711" s="61"/>
      <c r="X711" s="61"/>
      <c r="Y711" s="61"/>
      <c r="Z711" s="61"/>
      <c r="AA711" s="61"/>
      <c r="AB711" s="61"/>
      <c r="AC711" s="61"/>
      <c r="AD711" s="61"/>
      <c r="AE711" s="61"/>
      <c r="AF711" s="61"/>
      <c r="AG711" s="61"/>
      <c r="AH711" s="61"/>
      <c r="AI711" s="61"/>
      <c r="AJ711" s="61"/>
      <c r="AK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2"/>
      <c r="W712" s="61"/>
      <c r="X712" s="61"/>
      <c r="Y712" s="61"/>
      <c r="Z712" s="61"/>
      <c r="AA712" s="61"/>
      <c r="AB712" s="61"/>
      <c r="AC712" s="61"/>
      <c r="AD712" s="61"/>
      <c r="AE712" s="61"/>
      <c r="AF712" s="61"/>
      <c r="AG712" s="61"/>
      <c r="AH712" s="61"/>
      <c r="AI712" s="61"/>
      <c r="AJ712" s="61"/>
      <c r="AK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2"/>
      <c r="W713" s="61"/>
      <c r="X713" s="61"/>
      <c r="Y713" s="61"/>
      <c r="Z713" s="61"/>
      <c r="AA713" s="61"/>
      <c r="AB713" s="61"/>
      <c r="AC713" s="61"/>
      <c r="AD713" s="61"/>
      <c r="AE713" s="61"/>
      <c r="AF713" s="61"/>
      <c r="AG713" s="61"/>
      <c r="AH713" s="61"/>
      <c r="AI713" s="61"/>
      <c r="AJ713" s="61"/>
      <c r="AK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2"/>
      <c r="W714" s="61"/>
      <c r="X714" s="61"/>
      <c r="Y714" s="61"/>
      <c r="Z714" s="61"/>
      <c r="AA714" s="61"/>
      <c r="AB714" s="61"/>
      <c r="AC714" s="61"/>
      <c r="AD714" s="61"/>
      <c r="AE714" s="61"/>
      <c r="AF714" s="61"/>
      <c r="AG714" s="61"/>
      <c r="AH714" s="61"/>
      <c r="AI714" s="61"/>
      <c r="AJ714" s="61"/>
      <c r="AK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2"/>
      <c r="W715" s="61"/>
      <c r="X715" s="61"/>
      <c r="Y715" s="61"/>
      <c r="Z715" s="61"/>
      <c r="AA715" s="61"/>
      <c r="AB715" s="61"/>
      <c r="AC715" s="61"/>
      <c r="AD715" s="61"/>
      <c r="AE715" s="61"/>
      <c r="AF715" s="61"/>
      <c r="AG715" s="61"/>
      <c r="AH715" s="61"/>
      <c r="AI715" s="61"/>
      <c r="AJ715" s="61"/>
      <c r="AK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2"/>
      <c r="W716" s="61"/>
      <c r="X716" s="61"/>
      <c r="Y716" s="61"/>
      <c r="Z716" s="61"/>
      <c r="AA716" s="61"/>
      <c r="AB716" s="61"/>
      <c r="AC716" s="61"/>
      <c r="AD716" s="61"/>
      <c r="AE716" s="61"/>
      <c r="AF716" s="61"/>
      <c r="AG716" s="61"/>
      <c r="AH716" s="61"/>
      <c r="AI716" s="61"/>
      <c r="AJ716" s="61"/>
      <c r="AK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2"/>
      <c r="W717" s="61"/>
      <c r="X717" s="61"/>
      <c r="Y717" s="61"/>
      <c r="Z717" s="61"/>
      <c r="AA717" s="61"/>
      <c r="AB717" s="61"/>
      <c r="AC717" s="61"/>
      <c r="AD717" s="61"/>
      <c r="AE717" s="61"/>
      <c r="AF717" s="61"/>
      <c r="AG717" s="61"/>
      <c r="AH717" s="61"/>
      <c r="AI717" s="61"/>
      <c r="AJ717" s="61"/>
      <c r="AK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2"/>
      <c r="W718" s="61"/>
      <c r="X718" s="61"/>
      <c r="Y718" s="61"/>
      <c r="Z718" s="61"/>
      <c r="AA718" s="61"/>
      <c r="AB718" s="61"/>
      <c r="AC718" s="61"/>
      <c r="AD718" s="61"/>
      <c r="AE718" s="61"/>
      <c r="AF718" s="61"/>
      <c r="AG718" s="61"/>
      <c r="AH718" s="61"/>
      <c r="AI718" s="61"/>
      <c r="AJ718" s="61"/>
      <c r="AK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2"/>
      <c r="W719" s="61"/>
      <c r="X719" s="61"/>
      <c r="Y719" s="61"/>
      <c r="Z719" s="61"/>
      <c r="AA719" s="61"/>
      <c r="AB719" s="61"/>
      <c r="AC719" s="61"/>
      <c r="AD719" s="61"/>
      <c r="AE719" s="61"/>
      <c r="AF719" s="61"/>
      <c r="AG719" s="61"/>
      <c r="AH719" s="61"/>
      <c r="AI719" s="61"/>
      <c r="AJ719" s="61"/>
      <c r="AK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2"/>
      <c r="W720" s="61"/>
      <c r="X720" s="61"/>
      <c r="Y720" s="61"/>
      <c r="Z720" s="61"/>
      <c r="AA720" s="61"/>
      <c r="AB720" s="61"/>
      <c r="AC720" s="61"/>
      <c r="AD720" s="61"/>
      <c r="AE720" s="61"/>
      <c r="AF720" s="61"/>
      <c r="AG720" s="61"/>
      <c r="AH720" s="61"/>
      <c r="AI720" s="61"/>
      <c r="AJ720" s="61"/>
      <c r="AK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2"/>
      <c r="W721" s="61"/>
      <c r="X721" s="61"/>
      <c r="Y721" s="61"/>
      <c r="Z721" s="61"/>
      <c r="AA721" s="61"/>
      <c r="AB721" s="61"/>
      <c r="AC721" s="61"/>
      <c r="AD721" s="61"/>
      <c r="AE721" s="61"/>
      <c r="AF721" s="61"/>
      <c r="AG721" s="61"/>
      <c r="AH721" s="61"/>
      <c r="AI721" s="61"/>
      <c r="AJ721" s="61"/>
      <c r="AK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2"/>
      <c r="W722" s="61"/>
      <c r="X722" s="61"/>
      <c r="Y722" s="61"/>
      <c r="Z722" s="61"/>
      <c r="AA722" s="61"/>
      <c r="AB722" s="61"/>
      <c r="AC722" s="61"/>
      <c r="AD722" s="61"/>
      <c r="AE722" s="61"/>
      <c r="AF722" s="61"/>
      <c r="AG722" s="61"/>
      <c r="AH722" s="61"/>
      <c r="AI722" s="61"/>
      <c r="AJ722" s="61"/>
      <c r="AK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2"/>
      <c r="W723" s="61"/>
      <c r="X723" s="61"/>
      <c r="Y723" s="61"/>
      <c r="Z723" s="61"/>
      <c r="AA723" s="61"/>
      <c r="AB723" s="61"/>
      <c r="AC723" s="61"/>
      <c r="AD723" s="61"/>
      <c r="AE723" s="61"/>
      <c r="AF723" s="61"/>
      <c r="AG723" s="61"/>
      <c r="AH723" s="61"/>
      <c r="AI723" s="61"/>
      <c r="AJ723" s="61"/>
      <c r="AK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2"/>
      <c r="W724" s="61"/>
      <c r="X724" s="61"/>
      <c r="Y724" s="61"/>
      <c r="Z724" s="61"/>
      <c r="AA724" s="61"/>
      <c r="AB724" s="61"/>
      <c r="AC724" s="61"/>
      <c r="AD724" s="61"/>
      <c r="AE724" s="61"/>
      <c r="AF724" s="61"/>
      <c r="AG724" s="61"/>
      <c r="AH724" s="61"/>
      <c r="AI724" s="61"/>
      <c r="AJ724" s="61"/>
      <c r="AK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2"/>
      <c r="W725" s="61"/>
      <c r="X725" s="61"/>
      <c r="Y725" s="61"/>
      <c r="Z725" s="61"/>
      <c r="AA725" s="61"/>
      <c r="AB725" s="61"/>
      <c r="AC725" s="61"/>
      <c r="AD725" s="61"/>
      <c r="AE725" s="61"/>
      <c r="AF725" s="61"/>
      <c r="AG725" s="61"/>
      <c r="AH725" s="61"/>
      <c r="AI725" s="61"/>
      <c r="AJ725" s="61"/>
      <c r="AK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2"/>
      <c r="W726" s="61"/>
      <c r="X726" s="61"/>
      <c r="Y726" s="61"/>
      <c r="Z726" s="61"/>
      <c r="AA726" s="61"/>
      <c r="AB726" s="61"/>
      <c r="AC726" s="61"/>
      <c r="AD726" s="61"/>
      <c r="AE726" s="61"/>
      <c r="AF726" s="61"/>
      <c r="AG726" s="61"/>
      <c r="AH726" s="61"/>
      <c r="AI726" s="61"/>
      <c r="AJ726" s="61"/>
      <c r="AK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2"/>
      <c r="W727" s="61"/>
      <c r="X727" s="61"/>
      <c r="Y727" s="61"/>
      <c r="Z727" s="61"/>
      <c r="AA727" s="61"/>
      <c r="AB727" s="61"/>
      <c r="AC727" s="61"/>
      <c r="AD727" s="61"/>
      <c r="AE727" s="61"/>
      <c r="AF727" s="61"/>
      <c r="AG727" s="61"/>
      <c r="AH727" s="61"/>
      <c r="AI727" s="61"/>
      <c r="AJ727" s="61"/>
      <c r="AK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2"/>
      <c r="W728" s="61"/>
      <c r="X728" s="61"/>
      <c r="Y728" s="61"/>
      <c r="Z728" s="61"/>
      <c r="AA728" s="61"/>
      <c r="AB728" s="61"/>
      <c r="AC728" s="61"/>
      <c r="AD728" s="61"/>
      <c r="AE728" s="61"/>
      <c r="AF728" s="61"/>
      <c r="AG728" s="61"/>
      <c r="AH728" s="61"/>
      <c r="AI728" s="61"/>
      <c r="AJ728" s="61"/>
      <c r="AK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2"/>
      <c r="W729" s="61"/>
      <c r="X729" s="61"/>
      <c r="Y729" s="61"/>
      <c r="Z729" s="61"/>
      <c r="AA729" s="61"/>
      <c r="AB729" s="61"/>
      <c r="AC729" s="61"/>
      <c r="AD729" s="61"/>
      <c r="AE729" s="61"/>
      <c r="AF729" s="61"/>
      <c r="AG729" s="61"/>
      <c r="AH729" s="61"/>
      <c r="AI729" s="61"/>
      <c r="AJ729" s="61"/>
      <c r="AK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2"/>
      <c r="W730" s="61"/>
      <c r="X730" s="61"/>
      <c r="Y730" s="61"/>
      <c r="Z730" s="61"/>
      <c r="AA730" s="61"/>
      <c r="AB730" s="61"/>
      <c r="AC730" s="61"/>
      <c r="AD730" s="61"/>
      <c r="AE730" s="61"/>
      <c r="AF730" s="61"/>
      <c r="AG730" s="61"/>
      <c r="AH730" s="61"/>
      <c r="AI730" s="61"/>
      <c r="AJ730" s="61"/>
      <c r="AK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2"/>
      <c r="W731" s="61"/>
      <c r="X731" s="61"/>
      <c r="Y731" s="61"/>
      <c r="Z731" s="61"/>
      <c r="AA731" s="61"/>
      <c r="AB731" s="61"/>
      <c r="AC731" s="61"/>
      <c r="AD731" s="61"/>
      <c r="AE731" s="61"/>
      <c r="AF731" s="61"/>
      <c r="AG731" s="61"/>
      <c r="AH731" s="61"/>
      <c r="AI731" s="61"/>
      <c r="AJ731" s="61"/>
      <c r="AK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2"/>
      <c r="W732" s="61"/>
      <c r="X732" s="61"/>
      <c r="Y732" s="61"/>
      <c r="Z732" s="61"/>
      <c r="AA732" s="61"/>
      <c r="AB732" s="61"/>
      <c r="AC732" s="61"/>
      <c r="AD732" s="61"/>
      <c r="AE732" s="61"/>
      <c r="AF732" s="61"/>
      <c r="AG732" s="61"/>
      <c r="AH732" s="61"/>
      <c r="AI732" s="61"/>
      <c r="AJ732" s="61"/>
      <c r="AK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2"/>
      <c r="W733" s="61"/>
      <c r="X733" s="61"/>
      <c r="Y733" s="61"/>
      <c r="Z733" s="61"/>
      <c r="AA733" s="61"/>
      <c r="AB733" s="61"/>
      <c r="AC733" s="61"/>
      <c r="AD733" s="61"/>
      <c r="AE733" s="61"/>
      <c r="AF733" s="61"/>
      <c r="AG733" s="61"/>
      <c r="AH733" s="61"/>
      <c r="AI733" s="61"/>
      <c r="AJ733" s="61"/>
      <c r="AK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2"/>
      <c r="W734" s="61"/>
      <c r="X734" s="61"/>
      <c r="Y734" s="61"/>
      <c r="Z734" s="61"/>
      <c r="AA734" s="61"/>
      <c r="AB734" s="61"/>
      <c r="AC734" s="61"/>
      <c r="AD734" s="61"/>
      <c r="AE734" s="61"/>
      <c r="AF734" s="61"/>
      <c r="AG734" s="61"/>
      <c r="AH734" s="61"/>
      <c r="AI734" s="61"/>
      <c r="AJ734" s="61"/>
      <c r="AK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2"/>
      <c r="W735" s="61"/>
      <c r="X735" s="61"/>
      <c r="Y735" s="61"/>
      <c r="Z735" s="61"/>
      <c r="AA735" s="61"/>
      <c r="AB735" s="61"/>
      <c r="AC735" s="61"/>
      <c r="AD735" s="61"/>
      <c r="AE735" s="61"/>
      <c r="AF735" s="61"/>
      <c r="AG735" s="61"/>
      <c r="AH735" s="61"/>
      <c r="AI735" s="61"/>
      <c r="AJ735" s="61"/>
      <c r="AK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2"/>
      <c r="W736" s="61"/>
      <c r="X736" s="61"/>
      <c r="Y736" s="61"/>
      <c r="Z736" s="61"/>
      <c r="AA736" s="61"/>
      <c r="AB736" s="61"/>
      <c r="AC736" s="61"/>
      <c r="AD736" s="61"/>
      <c r="AE736" s="61"/>
      <c r="AF736" s="61"/>
      <c r="AG736" s="61"/>
      <c r="AH736" s="61"/>
      <c r="AI736" s="61"/>
      <c r="AJ736" s="61"/>
      <c r="AK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2"/>
      <c r="W737" s="61"/>
      <c r="X737" s="61"/>
      <c r="Y737" s="61"/>
      <c r="Z737" s="61"/>
      <c r="AA737" s="61"/>
      <c r="AB737" s="61"/>
      <c r="AC737" s="61"/>
      <c r="AD737" s="61"/>
      <c r="AE737" s="61"/>
      <c r="AF737" s="61"/>
      <c r="AG737" s="61"/>
      <c r="AH737" s="61"/>
      <c r="AI737" s="61"/>
      <c r="AJ737" s="61"/>
      <c r="AK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2"/>
      <c r="W738" s="61"/>
      <c r="X738" s="61"/>
      <c r="Y738" s="61"/>
      <c r="Z738" s="61"/>
      <c r="AA738" s="61"/>
      <c r="AB738" s="61"/>
      <c r="AC738" s="61"/>
      <c r="AD738" s="61"/>
      <c r="AE738" s="61"/>
      <c r="AF738" s="61"/>
      <c r="AG738" s="61"/>
      <c r="AH738" s="61"/>
      <c r="AI738" s="61"/>
      <c r="AJ738" s="61"/>
      <c r="AK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2"/>
      <c r="W739" s="61"/>
      <c r="X739" s="61"/>
      <c r="Y739" s="61"/>
      <c r="Z739" s="61"/>
      <c r="AA739" s="61"/>
      <c r="AB739" s="61"/>
      <c r="AC739" s="61"/>
      <c r="AD739" s="61"/>
      <c r="AE739" s="61"/>
      <c r="AF739" s="61"/>
      <c r="AG739" s="61"/>
      <c r="AH739" s="61"/>
      <c r="AI739" s="61"/>
      <c r="AJ739" s="61"/>
      <c r="AK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2"/>
      <c r="W740" s="61"/>
      <c r="X740" s="61"/>
      <c r="Y740" s="61"/>
      <c r="Z740" s="61"/>
      <c r="AA740" s="61"/>
      <c r="AB740" s="61"/>
      <c r="AC740" s="61"/>
      <c r="AD740" s="61"/>
      <c r="AE740" s="61"/>
      <c r="AF740" s="61"/>
      <c r="AG740" s="61"/>
      <c r="AH740" s="61"/>
      <c r="AI740" s="61"/>
      <c r="AJ740" s="61"/>
      <c r="AK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2"/>
      <c r="W741" s="61"/>
      <c r="X741" s="61"/>
      <c r="Y741" s="61"/>
      <c r="Z741" s="61"/>
      <c r="AA741" s="61"/>
      <c r="AB741" s="61"/>
      <c r="AC741" s="61"/>
      <c r="AD741" s="61"/>
      <c r="AE741" s="61"/>
      <c r="AF741" s="61"/>
      <c r="AG741" s="61"/>
      <c r="AH741" s="61"/>
      <c r="AI741" s="61"/>
      <c r="AJ741" s="61"/>
      <c r="AK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2"/>
      <c r="W742" s="61"/>
      <c r="X742" s="61"/>
      <c r="Y742" s="61"/>
      <c r="Z742" s="61"/>
      <c r="AA742" s="61"/>
      <c r="AB742" s="61"/>
      <c r="AC742" s="61"/>
      <c r="AD742" s="61"/>
      <c r="AE742" s="61"/>
      <c r="AF742" s="61"/>
      <c r="AG742" s="61"/>
      <c r="AH742" s="61"/>
      <c r="AI742" s="61"/>
      <c r="AJ742" s="61"/>
      <c r="AK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2"/>
      <c r="W743" s="61"/>
      <c r="X743" s="61"/>
      <c r="Y743" s="61"/>
      <c r="Z743" s="61"/>
      <c r="AA743" s="61"/>
      <c r="AB743" s="61"/>
      <c r="AC743" s="61"/>
      <c r="AD743" s="61"/>
      <c r="AE743" s="61"/>
      <c r="AF743" s="61"/>
      <c r="AG743" s="61"/>
      <c r="AH743" s="61"/>
      <c r="AI743" s="61"/>
      <c r="AJ743" s="61"/>
      <c r="AK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2"/>
      <c r="W744" s="61"/>
      <c r="X744" s="61"/>
      <c r="Y744" s="61"/>
      <c r="Z744" s="61"/>
      <c r="AA744" s="61"/>
      <c r="AB744" s="61"/>
      <c r="AC744" s="61"/>
      <c r="AD744" s="61"/>
      <c r="AE744" s="61"/>
      <c r="AF744" s="61"/>
      <c r="AG744" s="61"/>
      <c r="AH744" s="61"/>
      <c r="AI744" s="61"/>
      <c r="AJ744" s="61"/>
      <c r="AK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2"/>
      <c r="W745" s="61"/>
      <c r="X745" s="61"/>
      <c r="Y745" s="61"/>
      <c r="Z745" s="61"/>
      <c r="AA745" s="61"/>
      <c r="AB745" s="61"/>
      <c r="AC745" s="61"/>
      <c r="AD745" s="61"/>
      <c r="AE745" s="61"/>
      <c r="AF745" s="61"/>
      <c r="AG745" s="61"/>
      <c r="AH745" s="61"/>
      <c r="AI745" s="61"/>
      <c r="AJ745" s="61"/>
      <c r="AK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2"/>
      <c r="W746" s="61"/>
      <c r="X746" s="61"/>
      <c r="Y746" s="61"/>
      <c r="Z746" s="61"/>
      <c r="AA746" s="61"/>
      <c r="AB746" s="61"/>
      <c r="AC746" s="61"/>
      <c r="AD746" s="61"/>
      <c r="AE746" s="61"/>
      <c r="AF746" s="61"/>
      <c r="AG746" s="61"/>
      <c r="AH746" s="61"/>
      <c r="AI746" s="61"/>
      <c r="AJ746" s="61"/>
      <c r="AK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2"/>
      <c r="W747" s="61"/>
      <c r="X747" s="61"/>
      <c r="Y747" s="61"/>
      <c r="Z747" s="61"/>
      <c r="AA747" s="61"/>
      <c r="AB747" s="61"/>
      <c r="AC747" s="61"/>
      <c r="AD747" s="61"/>
      <c r="AE747" s="61"/>
      <c r="AF747" s="61"/>
      <c r="AG747" s="61"/>
      <c r="AH747" s="61"/>
      <c r="AI747" s="61"/>
      <c r="AJ747" s="61"/>
      <c r="AK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2"/>
      <c r="W748" s="61"/>
      <c r="X748" s="61"/>
      <c r="Y748" s="61"/>
      <c r="Z748" s="61"/>
      <c r="AA748" s="61"/>
      <c r="AB748" s="61"/>
      <c r="AC748" s="61"/>
      <c r="AD748" s="61"/>
      <c r="AE748" s="61"/>
      <c r="AF748" s="61"/>
      <c r="AG748" s="61"/>
      <c r="AH748" s="61"/>
      <c r="AI748" s="61"/>
      <c r="AJ748" s="61"/>
      <c r="AK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2"/>
      <c r="W749" s="61"/>
      <c r="X749" s="61"/>
      <c r="Y749" s="61"/>
      <c r="Z749" s="61"/>
      <c r="AA749" s="61"/>
      <c r="AB749" s="61"/>
      <c r="AC749" s="61"/>
      <c r="AD749" s="61"/>
      <c r="AE749" s="61"/>
      <c r="AF749" s="61"/>
      <c r="AG749" s="61"/>
      <c r="AH749" s="61"/>
      <c r="AI749" s="61"/>
      <c r="AJ749" s="61"/>
      <c r="AK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2"/>
      <c r="W750" s="61"/>
      <c r="X750" s="61"/>
      <c r="Y750" s="61"/>
      <c r="Z750" s="61"/>
      <c r="AA750" s="61"/>
      <c r="AB750" s="61"/>
      <c r="AC750" s="61"/>
      <c r="AD750" s="61"/>
      <c r="AE750" s="61"/>
      <c r="AF750" s="61"/>
      <c r="AG750" s="61"/>
      <c r="AH750" s="61"/>
      <c r="AI750" s="61"/>
      <c r="AJ750" s="61"/>
      <c r="AK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2"/>
      <c r="W751" s="61"/>
      <c r="X751" s="61"/>
      <c r="Y751" s="61"/>
      <c r="Z751" s="61"/>
      <c r="AA751" s="61"/>
      <c r="AB751" s="61"/>
      <c r="AC751" s="61"/>
      <c r="AD751" s="61"/>
      <c r="AE751" s="61"/>
      <c r="AF751" s="61"/>
      <c r="AG751" s="61"/>
      <c r="AH751" s="61"/>
      <c r="AI751" s="61"/>
      <c r="AJ751" s="61"/>
      <c r="AK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2"/>
      <c r="W752" s="61"/>
      <c r="X752" s="61"/>
      <c r="Y752" s="61"/>
      <c r="Z752" s="61"/>
      <c r="AA752" s="61"/>
      <c r="AB752" s="61"/>
      <c r="AC752" s="61"/>
      <c r="AD752" s="61"/>
      <c r="AE752" s="61"/>
      <c r="AF752" s="61"/>
      <c r="AG752" s="61"/>
      <c r="AH752" s="61"/>
      <c r="AI752" s="61"/>
      <c r="AJ752" s="61"/>
      <c r="AK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2"/>
      <c r="W753" s="61"/>
      <c r="X753" s="61"/>
      <c r="Y753" s="61"/>
      <c r="Z753" s="61"/>
      <c r="AA753" s="61"/>
      <c r="AB753" s="61"/>
      <c r="AC753" s="61"/>
      <c r="AD753" s="61"/>
      <c r="AE753" s="61"/>
      <c r="AF753" s="61"/>
      <c r="AG753" s="61"/>
      <c r="AH753" s="61"/>
      <c r="AI753" s="61"/>
      <c r="AJ753" s="61"/>
      <c r="AK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2"/>
      <c r="W754" s="61"/>
      <c r="X754" s="61"/>
      <c r="Y754" s="61"/>
      <c r="Z754" s="61"/>
      <c r="AA754" s="61"/>
      <c r="AB754" s="61"/>
      <c r="AC754" s="61"/>
      <c r="AD754" s="61"/>
      <c r="AE754" s="61"/>
      <c r="AF754" s="61"/>
      <c r="AG754" s="61"/>
      <c r="AH754" s="61"/>
      <c r="AI754" s="61"/>
      <c r="AJ754" s="61"/>
      <c r="AK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2"/>
      <c r="W755" s="61"/>
      <c r="X755" s="61"/>
      <c r="Y755" s="61"/>
      <c r="Z755" s="61"/>
      <c r="AA755" s="61"/>
      <c r="AB755" s="61"/>
      <c r="AC755" s="61"/>
      <c r="AD755" s="61"/>
      <c r="AE755" s="61"/>
      <c r="AF755" s="61"/>
      <c r="AG755" s="61"/>
      <c r="AH755" s="61"/>
      <c r="AI755" s="61"/>
      <c r="AJ755" s="61"/>
      <c r="AK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2"/>
      <c r="W756" s="61"/>
      <c r="X756" s="61"/>
      <c r="Y756" s="61"/>
      <c r="Z756" s="61"/>
      <c r="AA756" s="61"/>
      <c r="AB756" s="61"/>
      <c r="AC756" s="61"/>
      <c r="AD756" s="61"/>
      <c r="AE756" s="61"/>
      <c r="AF756" s="61"/>
      <c r="AG756" s="61"/>
      <c r="AH756" s="61"/>
      <c r="AI756" s="61"/>
      <c r="AJ756" s="61"/>
      <c r="AK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2"/>
      <c r="W757" s="61"/>
      <c r="X757" s="61"/>
      <c r="Y757" s="61"/>
      <c r="Z757" s="61"/>
      <c r="AA757" s="61"/>
      <c r="AB757" s="61"/>
      <c r="AC757" s="61"/>
      <c r="AD757" s="61"/>
      <c r="AE757" s="61"/>
      <c r="AF757" s="61"/>
      <c r="AG757" s="61"/>
      <c r="AH757" s="61"/>
      <c r="AI757" s="61"/>
      <c r="AJ757" s="61"/>
      <c r="AK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2"/>
      <c r="W758" s="61"/>
      <c r="X758" s="61"/>
      <c r="Y758" s="61"/>
      <c r="Z758" s="61"/>
      <c r="AA758" s="61"/>
      <c r="AB758" s="61"/>
      <c r="AC758" s="61"/>
      <c r="AD758" s="61"/>
      <c r="AE758" s="61"/>
      <c r="AF758" s="61"/>
      <c r="AG758" s="61"/>
      <c r="AH758" s="61"/>
      <c r="AI758" s="61"/>
      <c r="AJ758" s="61"/>
      <c r="AK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2"/>
      <c r="W759" s="61"/>
      <c r="X759" s="61"/>
      <c r="Y759" s="61"/>
      <c r="Z759" s="61"/>
      <c r="AA759" s="61"/>
      <c r="AB759" s="61"/>
      <c r="AC759" s="61"/>
      <c r="AD759" s="61"/>
      <c r="AE759" s="61"/>
      <c r="AF759" s="61"/>
      <c r="AG759" s="61"/>
      <c r="AH759" s="61"/>
      <c r="AI759" s="61"/>
      <c r="AJ759" s="61"/>
      <c r="AK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2"/>
      <c r="W760" s="61"/>
      <c r="X760" s="61"/>
      <c r="Y760" s="61"/>
      <c r="Z760" s="61"/>
      <c r="AA760" s="61"/>
      <c r="AB760" s="61"/>
      <c r="AC760" s="61"/>
      <c r="AD760" s="61"/>
      <c r="AE760" s="61"/>
      <c r="AF760" s="61"/>
      <c r="AG760" s="61"/>
      <c r="AH760" s="61"/>
      <c r="AI760" s="61"/>
      <c r="AJ760" s="61"/>
      <c r="AK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2"/>
      <c r="W761" s="61"/>
      <c r="X761" s="61"/>
      <c r="Y761" s="61"/>
      <c r="Z761" s="61"/>
      <c r="AA761" s="61"/>
      <c r="AB761" s="61"/>
      <c r="AC761" s="61"/>
      <c r="AD761" s="61"/>
      <c r="AE761" s="61"/>
      <c r="AF761" s="61"/>
      <c r="AG761" s="61"/>
      <c r="AH761" s="61"/>
      <c r="AI761" s="61"/>
      <c r="AJ761" s="61"/>
      <c r="AK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2"/>
      <c r="W762" s="61"/>
      <c r="X762" s="61"/>
      <c r="Y762" s="61"/>
      <c r="Z762" s="61"/>
      <c r="AA762" s="61"/>
      <c r="AB762" s="61"/>
      <c r="AC762" s="61"/>
      <c r="AD762" s="61"/>
      <c r="AE762" s="61"/>
      <c r="AF762" s="61"/>
      <c r="AG762" s="61"/>
      <c r="AH762" s="61"/>
      <c r="AI762" s="61"/>
      <c r="AJ762" s="61"/>
      <c r="AK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2"/>
      <c r="W763" s="61"/>
      <c r="X763" s="61"/>
      <c r="Y763" s="61"/>
      <c r="Z763" s="61"/>
      <c r="AA763" s="61"/>
      <c r="AB763" s="61"/>
      <c r="AC763" s="61"/>
      <c r="AD763" s="61"/>
      <c r="AE763" s="61"/>
      <c r="AF763" s="61"/>
      <c r="AG763" s="61"/>
      <c r="AH763" s="61"/>
      <c r="AI763" s="61"/>
      <c r="AJ763" s="61"/>
      <c r="AK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2"/>
      <c r="W764" s="61"/>
      <c r="X764" s="61"/>
      <c r="Y764" s="61"/>
      <c r="Z764" s="61"/>
      <c r="AA764" s="61"/>
      <c r="AB764" s="61"/>
      <c r="AC764" s="61"/>
      <c r="AD764" s="61"/>
      <c r="AE764" s="61"/>
      <c r="AF764" s="61"/>
      <c r="AG764" s="61"/>
      <c r="AH764" s="61"/>
      <c r="AI764" s="61"/>
      <c r="AJ764" s="61"/>
      <c r="AK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2"/>
      <c r="W765" s="61"/>
      <c r="X765" s="61"/>
      <c r="Y765" s="61"/>
      <c r="Z765" s="61"/>
      <c r="AA765" s="61"/>
      <c r="AB765" s="61"/>
      <c r="AC765" s="61"/>
      <c r="AD765" s="61"/>
      <c r="AE765" s="61"/>
      <c r="AF765" s="61"/>
      <c r="AG765" s="61"/>
      <c r="AH765" s="61"/>
      <c r="AI765" s="61"/>
      <c r="AJ765" s="61"/>
      <c r="AK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2"/>
      <c r="W766" s="61"/>
      <c r="X766" s="61"/>
      <c r="Y766" s="61"/>
      <c r="Z766" s="61"/>
      <c r="AA766" s="61"/>
      <c r="AB766" s="61"/>
      <c r="AC766" s="61"/>
      <c r="AD766" s="61"/>
      <c r="AE766" s="61"/>
      <c r="AF766" s="61"/>
      <c r="AG766" s="61"/>
      <c r="AH766" s="61"/>
      <c r="AI766" s="61"/>
      <c r="AJ766" s="61"/>
      <c r="AK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2"/>
      <c r="W767" s="61"/>
      <c r="X767" s="61"/>
      <c r="Y767" s="61"/>
      <c r="Z767" s="61"/>
      <c r="AA767" s="61"/>
      <c r="AB767" s="61"/>
      <c r="AC767" s="61"/>
      <c r="AD767" s="61"/>
      <c r="AE767" s="61"/>
      <c r="AF767" s="61"/>
      <c r="AG767" s="61"/>
      <c r="AH767" s="61"/>
      <c r="AI767" s="61"/>
      <c r="AJ767" s="61"/>
      <c r="AK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2"/>
      <c r="W768" s="61"/>
      <c r="X768" s="61"/>
      <c r="Y768" s="61"/>
      <c r="Z768" s="61"/>
      <c r="AA768" s="61"/>
      <c r="AB768" s="61"/>
      <c r="AC768" s="61"/>
      <c r="AD768" s="61"/>
      <c r="AE768" s="61"/>
      <c r="AF768" s="61"/>
      <c r="AG768" s="61"/>
      <c r="AH768" s="61"/>
      <c r="AI768" s="61"/>
      <c r="AJ768" s="61"/>
      <c r="AK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2"/>
      <c r="W769" s="61"/>
      <c r="X769" s="61"/>
      <c r="Y769" s="61"/>
      <c r="Z769" s="61"/>
      <c r="AA769" s="61"/>
      <c r="AB769" s="61"/>
      <c r="AC769" s="61"/>
      <c r="AD769" s="61"/>
      <c r="AE769" s="61"/>
      <c r="AF769" s="61"/>
      <c r="AG769" s="61"/>
      <c r="AH769" s="61"/>
      <c r="AI769" s="61"/>
      <c r="AJ769" s="61"/>
      <c r="AK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2"/>
      <c r="W770" s="61"/>
      <c r="X770" s="61"/>
      <c r="Y770" s="61"/>
      <c r="Z770" s="61"/>
      <c r="AA770" s="61"/>
      <c r="AB770" s="61"/>
      <c r="AC770" s="61"/>
      <c r="AD770" s="61"/>
      <c r="AE770" s="61"/>
      <c r="AF770" s="61"/>
      <c r="AG770" s="61"/>
      <c r="AH770" s="61"/>
      <c r="AI770" s="61"/>
      <c r="AJ770" s="61"/>
      <c r="AK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2"/>
      <c r="W771" s="61"/>
      <c r="X771" s="61"/>
      <c r="Y771" s="61"/>
      <c r="Z771" s="61"/>
      <c r="AA771" s="61"/>
      <c r="AB771" s="61"/>
      <c r="AC771" s="61"/>
      <c r="AD771" s="61"/>
      <c r="AE771" s="61"/>
      <c r="AF771" s="61"/>
      <c r="AG771" s="61"/>
      <c r="AH771" s="61"/>
      <c r="AI771" s="61"/>
      <c r="AJ771" s="61"/>
      <c r="AK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2"/>
      <c r="W772" s="61"/>
      <c r="X772" s="61"/>
      <c r="Y772" s="61"/>
      <c r="Z772" s="61"/>
      <c r="AA772" s="61"/>
      <c r="AB772" s="61"/>
      <c r="AC772" s="61"/>
      <c r="AD772" s="61"/>
      <c r="AE772" s="61"/>
      <c r="AF772" s="61"/>
      <c r="AG772" s="61"/>
      <c r="AH772" s="61"/>
      <c r="AI772" s="61"/>
      <c r="AJ772" s="61"/>
      <c r="AK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2"/>
      <c r="W773" s="61"/>
      <c r="X773" s="61"/>
      <c r="Y773" s="61"/>
      <c r="Z773" s="61"/>
      <c r="AA773" s="61"/>
      <c r="AB773" s="61"/>
      <c r="AC773" s="61"/>
      <c r="AD773" s="61"/>
      <c r="AE773" s="61"/>
      <c r="AF773" s="61"/>
      <c r="AG773" s="61"/>
      <c r="AH773" s="61"/>
      <c r="AI773" s="61"/>
      <c r="AJ773" s="61"/>
      <c r="AK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2"/>
      <c r="W774" s="61"/>
      <c r="X774" s="61"/>
      <c r="Y774" s="61"/>
      <c r="Z774" s="61"/>
      <c r="AA774" s="61"/>
      <c r="AB774" s="61"/>
      <c r="AC774" s="61"/>
      <c r="AD774" s="61"/>
      <c r="AE774" s="61"/>
      <c r="AF774" s="61"/>
      <c r="AG774" s="61"/>
      <c r="AH774" s="61"/>
      <c r="AI774" s="61"/>
      <c r="AJ774" s="61"/>
      <c r="AK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2"/>
      <c r="W775" s="61"/>
      <c r="X775" s="61"/>
      <c r="Y775" s="61"/>
      <c r="Z775" s="61"/>
      <c r="AA775" s="61"/>
      <c r="AB775" s="61"/>
      <c r="AC775" s="61"/>
      <c r="AD775" s="61"/>
      <c r="AE775" s="61"/>
      <c r="AF775" s="61"/>
      <c r="AG775" s="61"/>
      <c r="AH775" s="61"/>
      <c r="AI775" s="61"/>
      <c r="AJ775" s="61"/>
      <c r="AK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2"/>
      <c r="W776" s="61"/>
      <c r="X776" s="61"/>
      <c r="Y776" s="61"/>
      <c r="Z776" s="61"/>
      <c r="AA776" s="61"/>
      <c r="AB776" s="61"/>
      <c r="AC776" s="61"/>
      <c r="AD776" s="61"/>
      <c r="AE776" s="61"/>
      <c r="AF776" s="61"/>
      <c r="AG776" s="61"/>
      <c r="AH776" s="61"/>
      <c r="AI776" s="61"/>
      <c r="AJ776" s="61"/>
      <c r="AK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2"/>
      <c r="W777" s="61"/>
      <c r="X777" s="61"/>
      <c r="Y777" s="61"/>
      <c r="Z777" s="61"/>
      <c r="AA777" s="61"/>
      <c r="AB777" s="61"/>
      <c r="AC777" s="61"/>
      <c r="AD777" s="61"/>
      <c r="AE777" s="61"/>
      <c r="AF777" s="61"/>
      <c r="AG777" s="61"/>
      <c r="AH777" s="61"/>
      <c r="AI777" s="61"/>
      <c r="AJ777" s="61"/>
      <c r="AK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2"/>
      <c r="W778" s="61"/>
      <c r="X778" s="61"/>
      <c r="Y778" s="61"/>
      <c r="Z778" s="61"/>
      <c r="AA778" s="61"/>
      <c r="AB778" s="61"/>
      <c r="AC778" s="61"/>
      <c r="AD778" s="61"/>
      <c r="AE778" s="61"/>
      <c r="AF778" s="61"/>
      <c r="AG778" s="61"/>
      <c r="AH778" s="61"/>
      <c r="AI778" s="61"/>
      <c r="AJ778" s="61"/>
      <c r="AK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2"/>
      <c r="W779" s="61"/>
      <c r="X779" s="61"/>
      <c r="Y779" s="61"/>
      <c r="Z779" s="61"/>
      <c r="AA779" s="61"/>
      <c r="AB779" s="61"/>
      <c r="AC779" s="61"/>
      <c r="AD779" s="61"/>
      <c r="AE779" s="61"/>
      <c r="AF779" s="61"/>
      <c r="AG779" s="61"/>
      <c r="AH779" s="61"/>
      <c r="AI779" s="61"/>
      <c r="AJ779" s="61"/>
      <c r="AK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2"/>
      <c r="W780" s="61"/>
      <c r="X780" s="61"/>
      <c r="Y780" s="61"/>
      <c r="Z780" s="61"/>
      <c r="AA780" s="61"/>
      <c r="AB780" s="61"/>
      <c r="AC780" s="61"/>
      <c r="AD780" s="61"/>
      <c r="AE780" s="61"/>
      <c r="AF780" s="61"/>
      <c r="AG780" s="61"/>
      <c r="AH780" s="61"/>
      <c r="AI780" s="61"/>
      <c r="AJ780" s="61"/>
      <c r="AK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2"/>
      <c r="W781" s="61"/>
      <c r="X781" s="61"/>
      <c r="Y781" s="61"/>
      <c r="Z781" s="61"/>
      <c r="AA781" s="61"/>
      <c r="AB781" s="61"/>
      <c r="AC781" s="61"/>
      <c r="AD781" s="61"/>
      <c r="AE781" s="61"/>
      <c r="AF781" s="61"/>
      <c r="AG781" s="61"/>
      <c r="AH781" s="61"/>
      <c r="AI781" s="61"/>
      <c r="AJ781" s="61"/>
      <c r="AK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2"/>
      <c r="W782" s="61"/>
      <c r="X782" s="61"/>
      <c r="Y782" s="61"/>
      <c r="Z782" s="61"/>
      <c r="AA782" s="61"/>
      <c r="AB782" s="61"/>
      <c r="AC782" s="61"/>
      <c r="AD782" s="61"/>
      <c r="AE782" s="61"/>
      <c r="AF782" s="61"/>
      <c r="AG782" s="61"/>
      <c r="AH782" s="61"/>
      <c r="AI782" s="61"/>
      <c r="AJ782" s="61"/>
      <c r="AK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2"/>
      <c r="W783" s="61"/>
      <c r="X783" s="61"/>
      <c r="Y783" s="61"/>
      <c r="Z783" s="61"/>
      <c r="AA783" s="61"/>
      <c r="AB783" s="61"/>
      <c r="AC783" s="61"/>
      <c r="AD783" s="61"/>
      <c r="AE783" s="61"/>
      <c r="AF783" s="61"/>
      <c r="AG783" s="61"/>
      <c r="AH783" s="61"/>
      <c r="AI783" s="61"/>
      <c r="AJ783" s="61"/>
      <c r="AK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2"/>
      <c r="W784" s="61"/>
      <c r="X784" s="61"/>
      <c r="Y784" s="61"/>
      <c r="Z784" s="61"/>
      <c r="AA784" s="61"/>
      <c r="AB784" s="61"/>
      <c r="AC784" s="61"/>
      <c r="AD784" s="61"/>
      <c r="AE784" s="61"/>
      <c r="AF784" s="61"/>
      <c r="AG784" s="61"/>
      <c r="AH784" s="61"/>
      <c r="AI784" s="61"/>
      <c r="AJ784" s="61"/>
      <c r="AK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2"/>
      <c r="W785" s="61"/>
      <c r="X785" s="61"/>
      <c r="Y785" s="61"/>
      <c r="Z785" s="61"/>
      <c r="AA785" s="61"/>
      <c r="AB785" s="61"/>
      <c r="AC785" s="61"/>
      <c r="AD785" s="61"/>
      <c r="AE785" s="61"/>
      <c r="AF785" s="61"/>
      <c r="AG785" s="61"/>
      <c r="AH785" s="61"/>
      <c r="AI785" s="61"/>
      <c r="AJ785" s="61"/>
      <c r="AK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2"/>
      <c r="W786" s="61"/>
      <c r="X786" s="61"/>
      <c r="Y786" s="61"/>
      <c r="Z786" s="61"/>
      <c r="AA786" s="61"/>
      <c r="AB786" s="61"/>
      <c r="AC786" s="61"/>
      <c r="AD786" s="61"/>
      <c r="AE786" s="61"/>
      <c r="AF786" s="61"/>
      <c r="AG786" s="61"/>
      <c r="AH786" s="61"/>
      <c r="AI786" s="61"/>
      <c r="AJ786" s="61"/>
      <c r="AK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2"/>
      <c r="W787" s="61"/>
      <c r="X787" s="61"/>
      <c r="Y787" s="61"/>
      <c r="Z787" s="61"/>
      <c r="AA787" s="61"/>
      <c r="AB787" s="61"/>
      <c r="AC787" s="61"/>
      <c r="AD787" s="61"/>
      <c r="AE787" s="61"/>
      <c r="AF787" s="61"/>
      <c r="AG787" s="61"/>
      <c r="AH787" s="61"/>
      <c r="AI787" s="61"/>
      <c r="AJ787" s="61"/>
      <c r="AK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2"/>
      <c r="W788" s="61"/>
      <c r="X788" s="61"/>
      <c r="Y788" s="61"/>
      <c r="Z788" s="61"/>
      <c r="AA788" s="61"/>
      <c r="AB788" s="61"/>
      <c r="AC788" s="61"/>
      <c r="AD788" s="61"/>
      <c r="AE788" s="61"/>
      <c r="AF788" s="61"/>
      <c r="AG788" s="61"/>
      <c r="AH788" s="61"/>
      <c r="AI788" s="61"/>
      <c r="AJ788" s="61"/>
      <c r="AK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2"/>
      <c r="W789" s="61"/>
      <c r="X789" s="61"/>
      <c r="Y789" s="61"/>
      <c r="Z789" s="61"/>
      <c r="AA789" s="61"/>
      <c r="AB789" s="61"/>
      <c r="AC789" s="61"/>
      <c r="AD789" s="61"/>
      <c r="AE789" s="61"/>
      <c r="AF789" s="61"/>
      <c r="AG789" s="61"/>
      <c r="AH789" s="61"/>
      <c r="AI789" s="61"/>
      <c r="AJ789" s="61"/>
      <c r="AK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2"/>
      <c r="W790" s="61"/>
      <c r="X790" s="61"/>
      <c r="Y790" s="61"/>
      <c r="Z790" s="61"/>
      <c r="AA790" s="61"/>
      <c r="AB790" s="61"/>
      <c r="AC790" s="61"/>
      <c r="AD790" s="61"/>
      <c r="AE790" s="61"/>
      <c r="AF790" s="61"/>
      <c r="AG790" s="61"/>
      <c r="AH790" s="61"/>
      <c r="AI790" s="61"/>
      <c r="AJ790" s="61"/>
      <c r="AK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2"/>
      <c r="W791" s="61"/>
      <c r="X791" s="61"/>
      <c r="Y791" s="61"/>
      <c r="Z791" s="61"/>
      <c r="AA791" s="61"/>
      <c r="AB791" s="61"/>
      <c r="AC791" s="61"/>
      <c r="AD791" s="61"/>
      <c r="AE791" s="61"/>
      <c r="AF791" s="61"/>
      <c r="AG791" s="61"/>
      <c r="AH791" s="61"/>
      <c r="AI791" s="61"/>
      <c r="AJ791" s="61"/>
      <c r="AK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2"/>
      <c r="W792" s="61"/>
      <c r="X792" s="61"/>
      <c r="Y792" s="61"/>
      <c r="Z792" s="61"/>
      <c r="AA792" s="61"/>
      <c r="AB792" s="61"/>
      <c r="AC792" s="61"/>
      <c r="AD792" s="61"/>
      <c r="AE792" s="61"/>
      <c r="AF792" s="61"/>
      <c r="AG792" s="61"/>
      <c r="AH792" s="61"/>
      <c r="AI792" s="61"/>
      <c r="AJ792" s="61"/>
      <c r="AK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2"/>
      <c r="W793" s="61"/>
      <c r="X793" s="61"/>
      <c r="Y793" s="61"/>
      <c r="Z793" s="61"/>
      <c r="AA793" s="61"/>
      <c r="AB793" s="61"/>
      <c r="AC793" s="61"/>
      <c r="AD793" s="61"/>
      <c r="AE793" s="61"/>
      <c r="AF793" s="61"/>
      <c r="AG793" s="61"/>
      <c r="AH793" s="61"/>
      <c r="AI793" s="61"/>
      <c r="AJ793" s="61"/>
      <c r="AK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2"/>
      <c r="W794" s="61"/>
      <c r="X794" s="61"/>
      <c r="Y794" s="61"/>
      <c r="Z794" s="61"/>
      <c r="AA794" s="61"/>
      <c r="AB794" s="61"/>
      <c r="AC794" s="61"/>
      <c r="AD794" s="61"/>
      <c r="AE794" s="61"/>
      <c r="AF794" s="61"/>
      <c r="AG794" s="61"/>
      <c r="AH794" s="61"/>
      <c r="AI794" s="61"/>
      <c r="AJ794" s="61"/>
      <c r="AK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2"/>
      <c r="W795" s="61"/>
      <c r="X795" s="61"/>
      <c r="Y795" s="61"/>
      <c r="Z795" s="61"/>
      <c r="AA795" s="61"/>
      <c r="AB795" s="61"/>
      <c r="AC795" s="61"/>
      <c r="AD795" s="61"/>
      <c r="AE795" s="61"/>
      <c r="AF795" s="61"/>
      <c r="AG795" s="61"/>
      <c r="AH795" s="61"/>
      <c r="AI795" s="61"/>
      <c r="AJ795" s="61"/>
      <c r="AK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2"/>
      <c r="W796" s="61"/>
      <c r="X796" s="61"/>
      <c r="Y796" s="61"/>
      <c r="Z796" s="61"/>
      <c r="AA796" s="61"/>
      <c r="AB796" s="61"/>
      <c r="AC796" s="61"/>
      <c r="AD796" s="61"/>
      <c r="AE796" s="61"/>
      <c r="AF796" s="61"/>
      <c r="AG796" s="61"/>
      <c r="AH796" s="61"/>
      <c r="AI796" s="61"/>
      <c r="AJ796" s="61"/>
      <c r="AK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2"/>
      <c r="W797" s="61"/>
      <c r="X797" s="61"/>
      <c r="Y797" s="61"/>
      <c r="Z797" s="61"/>
      <c r="AA797" s="61"/>
      <c r="AB797" s="61"/>
      <c r="AC797" s="61"/>
      <c r="AD797" s="61"/>
      <c r="AE797" s="61"/>
      <c r="AF797" s="61"/>
      <c r="AG797" s="61"/>
      <c r="AH797" s="61"/>
      <c r="AI797" s="61"/>
      <c r="AJ797" s="61"/>
      <c r="AK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2"/>
      <c r="W798" s="61"/>
      <c r="X798" s="61"/>
      <c r="Y798" s="61"/>
      <c r="Z798" s="61"/>
      <c r="AA798" s="61"/>
      <c r="AB798" s="61"/>
      <c r="AC798" s="61"/>
      <c r="AD798" s="61"/>
      <c r="AE798" s="61"/>
      <c r="AF798" s="61"/>
      <c r="AG798" s="61"/>
      <c r="AH798" s="61"/>
      <c r="AI798" s="61"/>
      <c r="AJ798" s="61"/>
      <c r="AK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2"/>
      <c r="W799" s="61"/>
      <c r="X799" s="61"/>
      <c r="Y799" s="61"/>
      <c r="Z799" s="61"/>
      <c r="AA799" s="61"/>
      <c r="AB799" s="61"/>
      <c r="AC799" s="61"/>
      <c r="AD799" s="61"/>
      <c r="AE799" s="61"/>
      <c r="AF799" s="61"/>
      <c r="AG799" s="61"/>
      <c r="AH799" s="61"/>
      <c r="AI799" s="61"/>
      <c r="AJ799" s="61"/>
      <c r="AK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2"/>
      <c r="W800" s="61"/>
      <c r="X800" s="61"/>
      <c r="Y800" s="61"/>
      <c r="Z800" s="61"/>
      <c r="AA800" s="61"/>
      <c r="AB800" s="61"/>
      <c r="AC800" s="61"/>
      <c r="AD800" s="61"/>
      <c r="AE800" s="61"/>
      <c r="AF800" s="61"/>
      <c r="AG800" s="61"/>
      <c r="AH800" s="61"/>
      <c r="AI800" s="61"/>
      <c r="AJ800" s="61"/>
      <c r="AK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2"/>
      <c r="W801" s="61"/>
      <c r="X801" s="61"/>
      <c r="Y801" s="61"/>
      <c r="Z801" s="61"/>
      <c r="AA801" s="61"/>
      <c r="AB801" s="61"/>
      <c r="AC801" s="61"/>
      <c r="AD801" s="61"/>
      <c r="AE801" s="61"/>
      <c r="AF801" s="61"/>
      <c r="AG801" s="61"/>
      <c r="AH801" s="61"/>
      <c r="AI801" s="61"/>
      <c r="AJ801" s="61"/>
      <c r="AK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2"/>
      <c r="W802" s="61"/>
      <c r="X802" s="61"/>
      <c r="Y802" s="61"/>
      <c r="Z802" s="61"/>
      <c r="AA802" s="61"/>
      <c r="AB802" s="61"/>
      <c r="AC802" s="61"/>
      <c r="AD802" s="61"/>
      <c r="AE802" s="61"/>
      <c r="AF802" s="61"/>
      <c r="AG802" s="61"/>
      <c r="AH802" s="61"/>
      <c r="AI802" s="61"/>
      <c r="AJ802" s="61"/>
      <c r="AK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2"/>
      <c r="W803" s="61"/>
      <c r="X803" s="61"/>
      <c r="Y803" s="61"/>
      <c r="Z803" s="61"/>
      <c r="AA803" s="61"/>
      <c r="AB803" s="61"/>
      <c r="AC803" s="61"/>
      <c r="AD803" s="61"/>
      <c r="AE803" s="61"/>
      <c r="AF803" s="61"/>
      <c r="AG803" s="61"/>
      <c r="AH803" s="61"/>
      <c r="AI803" s="61"/>
      <c r="AJ803" s="61"/>
      <c r="AK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2"/>
      <c r="W804" s="61"/>
      <c r="X804" s="61"/>
      <c r="Y804" s="61"/>
      <c r="Z804" s="61"/>
      <c r="AA804" s="61"/>
      <c r="AB804" s="61"/>
      <c r="AC804" s="61"/>
      <c r="AD804" s="61"/>
      <c r="AE804" s="61"/>
      <c r="AF804" s="61"/>
      <c r="AG804" s="61"/>
      <c r="AH804" s="61"/>
      <c r="AI804" s="61"/>
      <c r="AJ804" s="61"/>
      <c r="AK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2"/>
      <c r="W805" s="61"/>
      <c r="X805" s="61"/>
      <c r="Y805" s="61"/>
      <c r="Z805" s="61"/>
      <c r="AA805" s="61"/>
      <c r="AB805" s="61"/>
      <c r="AC805" s="61"/>
      <c r="AD805" s="61"/>
      <c r="AE805" s="61"/>
      <c r="AF805" s="61"/>
      <c r="AG805" s="61"/>
      <c r="AH805" s="61"/>
      <c r="AI805" s="61"/>
      <c r="AJ805" s="61"/>
      <c r="AK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2"/>
      <c r="W806" s="61"/>
      <c r="X806" s="61"/>
      <c r="Y806" s="61"/>
      <c r="Z806" s="61"/>
      <c r="AA806" s="61"/>
      <c r="AB806" s="61"/>
      <c r="AC806" s="61"/>
      <c r="AD806" s="61"/>
      <c r="AE806" s="61"/>
      <c r="AF806" s="61"/>
      <c r="AG806" s="61"/>
      <c r="AH806" s="61"/>
      <c r="AI806" s="61"/>
      <c r="AJ806" s="61"/>
      <c r="AK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2"/>
      <c r="W807" s="61"/>
      <c r="X807" s="61"/>
      <c r="Y807" s="61"/>
      <c r="Z807" s="61"/>
      <c r="AA807" s="61"/>
      <c r="AB807" s="61"/>
      <c r="AC807" s="61"/>
      <c r="AD807" s="61"/>
      <c r="AE807" s="61"/>
      <c r="AF807" s="61"/>
      <c r="AG807" s="61"/>
      <c r="AH807" s="61"/>
      <c r="AI807" s="61"/>
      <c r="AJ807" s="61"/>
      <c r="AK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2"/>
      <c r="W808" s="61"/>
      <c r="X808" s="61"/>
      <c r="Y808" s="61"/>
      <c r="Z808" s="61"/>
      <c r="AA808" s="61"/>
      <c r="AB808" s="61"/>
      <c r="AC808" s="61"/>
      <c r="AD808" s="61"/>
      <c r="AE808" s="61"/>
      <c r="AF808" s="61"/>
      <c r="AG808" s="61"/>
      <c r="AH808" s="61"/>
      <c r="AI808" s="61"/>
      <c r="AJ808" s="61"/>
      <c r="AK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2"/>
      <c r="W809" s="61"/>
      <c r="X809" s="61"/>
      <c r="Y809" s="61"/>
      <c r="Z809" s="61"/>
      <c r="AA809" s="61"/>
      <c r="AB809" s="61"/>
      <c r="AC809" s="61"/>
      <c r="AD809" s="61"/>
      <c r="AE809" s="61"/>
      <c r="AF809" s="61"/>
      <c r="AG809" s="61"/>
      <c r="AH809" s="61"/>
      <c r="AI809" s="61"/>
      <c r="AJ809" s="61"/>
      <c r="AK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2"/>
      <c r="W810" s="61"/>
      <c r="X810" s="61"/>
      <c r="Y810" s="61"/>
      <c r="Z810" s="61"/>
      <c r="AA810" s="61"/>
      <c r="AB810" s="61"/>
      <c r="AC810" s="61"/>
      <c r="AD810" s="61"/>
      <c r="AE810" s="61"/>
      <c r="AF810" s="61"/>
      <c r="AG810" s="61"/>
      <c r="AH810" s="61"/>
      <c r="AI810" s="61"/>
      <c r="AJ810" s="61"/>
      <c r="AK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2"/>
      <c r="W811" s="61"/>
      <c r="X811" s="61"/>
      <c r="Y811" s="61"/>
      <c r="Z811" s="61"/>
      <c r="AA811" s="61"/>
      <c r="AB811" s="61"/>
      <c r="AC811" s="61"/>
      <c r="AD811" s="61"/>
      <c r="AE811" s="61"/>
      <c r="AF811" s="61"/>
      <c r="AG811" s="61"/>
      <c r="AH811" s="61"/>
      <c r="AI811" s="61"/>
      <c r="AJ811" s="61"/>
      <c r="AK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2"/>
      <c r="W812" s="61"/>
      <c r="X812" s="61"/>
      <c r="Y812" s="61"/>
      <c r="Z812" s="61"/>
      <c r="AA812" s="61"/>
      <c r="AB812" s="61"/>
      <c r="AC812" s="61"/>
      <c r="AD812" s="61"/>
      <c r="AE812" s="61"/>
      <c r="AF812" s="61"/>
      <c r="AG812" s="61"/>
      <c r="AH812" s="61"/>
      <c r="AI812" s="61"/>
      <c r="AJ812" s="61"/>
      <c r="AK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2"/>
      <c r="W813" s="61"/>
      <c r="X813" s="61"/>
      <c r="Y813" s="61"/>
      <c r="Z813" s="61"/>
      <c r="AA813" s="61"/>
      <c r="AB813" s="61"/>
      <c r="AC813" s="61"/>
      <c r="AD813" s="61"/>
      <c r="AE813" s="61"/>
      <c r="AF813" s="61"/>
      <c r="AG813" s="61"/>
      <c r="AH813" s="61"/>
      <c r="AI813" s="61"/>
      <c r="AJ813" s="61"/>
      <c r="AK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2"/>
      <c r="W814" s="61"/>
      <c r="X814" s="61"/>
      <c r="Y814" s="61"/>
      <c r="Z814" s="61"/>
      <c r="AA814" s="61"/>
      <c r="AB814" s="61"/>
      <c r="AC814" s="61"/>
      <c r="AD814" s="61"/>
      <c r="AE814" s="61"/>
      <c r="AF814" s="61"/>
      <c r="AG814" s="61"/>
      <c r="AH814" s="61"/>
      <c r="AI814" s="61"/>
      <c r="AJ814" s="61"/>
      <c r="AK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2"/>
      <c r="W815" s="61"/>
      <c r="X815" s="61"/>
      <c r="Y815" s="61"/>
      <c r="Z815" s="61"/>
      <c r="AA815" s="61"/>
      <c r="AB815" s="61"/>
      <c r="AC815" s="61"/>
      <c r="AD815" s="61"/>
      <c r="AE815" s="61"/>
      <c r="AF815" s="61"/>
      <c r="AG815" s="61"/>
      <c r="AH815" s="61"/>
      <c r="AI815" s="61"/>
      <c r="AJ815" s="61"/>
      <c r="AK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2"/>
      <c r="W816" s="61"/>
      <c r="X816" s="61"/>
      <c r="Y816" s="61"/>
      <c r="Z816" s="61"/>
      <c r="AA816" s="61"/>
      <c r="AB816" s="61"/>
      <c r="AC816" s="61"/>
      <c r="AD816" s="61"/>
      <c r="AE816" s="61"/>
      <c r="AF816" s="61"/>
      <c r="AG816" s="61"/>
      <c r="AH816" s="61"/>
      <c r="AI816" s="61"/>
      <c r="AJ816" s="61"/>
      <c r="AK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2"/>
      <c r="W817" s="61"/>
      <c r="X817" s="61"/>
      <c r="Y817" s="61"/>
      <c r="Z817" s="61"/>
      <c r="AA817" s="61"/>
      <c r="AB817" s="61"/>
      <c r="AC817" s="61"/>
      <c r="AD817" s="61"/>
      <c r="AE817" s="61"/>
      <c r="AF817" s="61"/>
      <c r="AG817" s="61"/>
      <c r="AH817" s="61"/>
      <c r="AI817" s="61"/>
      <c r="AJ817" s="61"/>
      <c r="AK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2"/>
      <c r="W818" s="61"/>
      <c r="X818" s="61"/>
      <c r="Y818" s="61"/>
      <c r="Z818" s="61"/>
      <c r="AA818" s="61"/>
      <c r="AB818" s="61"/>
      <c r="AC818" s="61"/>
      <c r="AD818" s="61"/>
      <c r="AE818" s="61"/>
      <c r="AF818" s="61"/>
      <c r="AG818" s="61"/>
      <c r="AH818" s="61"/>
      <c r="AI818" s="61"/>
      <c r="AJ818" s="61"/>
      <c r="AK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2"/>
      <c r="W819" s="61"/>
      <c r="X819" s="61"/>
      <c r="Y819" s="61"/>
      <c r="Z819" s="61"/>
      <c r="AA819" s="61"/>
      <c r="AB819" s="61"/>
      <c r="AC819" s="61"/>
      <c r="AD819" s="61"/>
      <c r="AE819" s="61"/>
      <c r="AF819" s="61"/>
      <c r="AG819" s="61"/>
      <c r="AH819" s="61"/>
      <c r="AI819" s="61"/>
      <c r="AJ819" s="61"/>
      <c r="AK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2"/>
      <c r="W820" s="61"/>
      <c r="X820" s="61"/>
      <c r="Y820" s="61"/>
      <c r="Z820" s="61"/>
      <c r="AA820" s="61"/>
      <c r="AB820" s="61"/>
      <c r="AC820" s="61"/>
      <c r="AD820" s="61"/>
      <c r="AE820" s="61"/>
      <c r="AF820" s="61"/>
      <c r="AG820" s="61"/>
      <c r="AH820" s="61"/>
      <c r="AI820" s="61"/>
      <c r="AJ820" s="61"/>
      <c r="AK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2"/>
      <c r="W821" s="61"/>
      <c r="X821" s="61"/>
      <c r="Y821" s="61"/>
      <c r="Z821" s="61"/>
      <c r="AA821" s="61"/>
      <c r="AB821" s="61"/>
      <c r="AC821" s="61"/>
      <c r="AD821" s="61"/>
      <c r="AE821" s="61"/>
      <c r="AF821" s="61"/>
      <c r="AG821" s="61"/>
      <c r="AH821" s="61"/>
      <c r="AI821" s="61"/>
      <c r="AJ821" s="61"/>
      <c r="AK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2"/>
      <c r="W822" s="61"/>
      <c r="X822" s="61"/>
      <c r="Y822" s="61"/>
      <c r="Z822" s="61"/>
      <c r="AA822" s="61"/>
      <c r="AB822" s="61"/>
      <c r="AC822" s="61"/>
      <c r="AD822" s="61"/>
      <c r="AE822" s="61"/>
      <c r="AF822" s="61"/>
      <c r="AG822" s="61"/>
      <c r="AH822" s="61"/>
      <c r="AI822" s="61"/>
      <c r="AJ822" s="61"/>
      <c r="AK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2"/>
      <c r="W823" s="61"/>
      <c r="X823" s="61"/>
      <c r="Y823" s="61"/>
      <c r="Z823" s="61"/>
      <c r="AA823" s="61"/>
      <c r="AB823" s="61"/>
      <c r="AC823" s="61"/>
      <c r="AD823" s="61"/>
      <c r="AE823" s="61"/>
      <c r="AF823" s="61"/>
      <c r="AG823" s="61"/>
      <c r="AH823" s="61"/>
      <c r="AI823" s="61"/>
      <c r="AJ823" s="61"/>
      <c r="AK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2"/>
      <c r="W824" s="61"/>
      <c r="X824" s="61"/>
      <c r="Y824" s="61"/>
      <c r="Z824" s="61"/>
      <c r="AA824" s="61"/>
      <c r="AB824" s="61"/>
      <c r="AC824" s="61"/>
      <c r="AD824" s="61"/>
      <c r="AE824" s="61"/>
      <c r="AF824" s="61"/>
      <c r="AG824" s="61"/>
      <c r="AH824" s="61"/>
      <c r="AI824" s="61"/>
      <c r="AJ824" s="61"/>
      <c r="AK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2"/>
      <c r="W825" s="61"/>
      <c r="X825" s="61"/>
      <c r="Y825" s="61"/>
      <c r="Z825" s="61"/>
      <c r="AA825" s="61"/>
      <c r="AB825" s="61"/>
      <c r="AC825" s="61"/>
      <c r="AD825" s="61"/>
      <c r="AE825" s="61"/>
      <c r="AF825" s="61"/>
      <c r="AG825" s="61"/>
      <c r="AH825" s="61"/>
      <c r="AI825" s="61"/>
      <c r="AJ825" s="61"/>
      <c r="AK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2"/>
      <c r="W826" s="61"/>
      <c r="X826" s="61"/>
      <c r="Y826" s="61"/>
      <c r="Z826" s="61"/>
      <c r="AA826" s="61"/>
      <c r="AB826" s="61"/>
      <c r="AC826" s="61"/>
      <c r="AD826" s="61"/>
      <c r="AE826" s="61"/>
      <c r="AF826" s="61"/>
      <c r="AG826" s="61"/>
      <c r="AH826" s="61"/>
      <c r="AI826" s="61"/>
      <c r="AJ826" s="61"/>
      <c r="AK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2"/>
      <c r="W827" s="61"/>
      <c r="X827" s="61"/>
      <c r="Y827" s="61"/>
      <c r="Z827" s="61"/>
      <c r="AA827" s="61"/>
      <c r="AB827" s="61"/>
      <c r="AC827" s="61"/>
      <c r="AD827" s="61"/>
      <c r="AE827" s="61"/>
      <c r="AF827" s="61"/>
      <c r="AG827" s="61"/>
      <c r="AH827" s="61"/>
      <c r="AI827" s="61"/>
      <c r="AJ827" s="61"/>
      <c r="AK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2"/>
      <c r="W828" s="61"/>
      <c r="X828" s="61"/>
      <c r="Y828" s="61"/>
      <c r="Z828" s="61"/>
      <c r="AA828" s="61"/>
      <c r="AB828" s="61"/>
      <c r="AC828" s="61"/>
      <c r="AD828" s="61"/>
      <c r="AE828" s="61"/>
      <c r="AF828" s="61"/>
      <c r="AG828" s="61"/>
      <c r="AH828" s="61"/>
      <c r="AI828" s="61"/>
      <c r="AJ828" s="61"/>
      <c r="AK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2"/>
      <c r="W829" s="61"/>
      <c r="X829" s="61"/>
      <c r="Y829" s="61"/>
      <c r="Z829" s="61"/>
      <c r="AA829" s="61"/>
      <c r="AB829" s="61"/>
      <c r="AC829" s="61"/>
      <c r="AD829" s="61"/>
      <c r="AE829" s="61"/>
      <c r="AF829" s="61"/>
      <c r="AG829" s="61"/>
      <c r="AH829" s="61"/>
      <c r="AI829" s="61"/>
      <c r="AJ829" s="61"/>
      <c r="AK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2"/>
      <c r="W830" s="61"/>
      <c r="X830" s="61"/>
      <c r="Y830" s="61"/>
      <c r="Z830" s="61"/>
      <c r="AA830" s="61"/>
      <c r="AB830" s="61"/>
      <c r="AC830" s="61"/>
      <c r="AD830" s="61"/>
      <c r="AE830" s="61"/>
      <c r="AF830" s="61"/>
      <c r="AG830" s="61"/>
      <c r="AH830" s="61"/>
      <c r="AI830" s="61"/>
      <c r="AJ830" s="61"/>
      <c r="AK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2"/>
      <c r="W831" s="61"/>
      <c r="X831" s="61"/>
      <c r="Y831" s="61"/>
      <c r="Z831" s="61"/>
      <c r="AA831" s="61"/>
      <c r="AB831" s="61"/>
      <c r="AC831" s="61"/>
      <c r="AD831" s="61"/>
      <c r="AE831" s="61"/>
      <c r="AF831" s="61"/>
      <c r="AG831" s="61"/>
      <c r="AH831" s="61"/>
      <c r="AI831" s="61"/>
      <c r="AJ831" s="61"/>
      <c r="AK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2"/>
      <c r="W832" s="61"/>
      <c r="X832" s="61"/>
      <c r="Y832" s="61"/>
      <c r="Z832" s="61"/>
      <c r="AA832" s="61"/>
      <c r="AB832" s="61"/>
      <c r="AC832" s="61"/>
      <c r="AD832" s="61"/>
      <c r="AE832" s="61"/>
      <c r="AF832" s="61"/>
      <c r="AG832" s="61"/>
      <c r="AH832" s="61"/>
      <c r="AI832" s="61"/>
      <c r="AJ832" s="61"/>
      <c r="AK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2"/>
      <c r="W833" s="61"/>
      <c r="X833" s="61"/>
      <c r="Y833" s="61"/>
      <c r="Z833" s="61"/>
      <c r="AA833" s="61"/>
      <c r="AB833" s="61"/>
      <c r="AC833" s="61"/>
      <c r="AD833" s="61"/>
      <c r="AE833" s="61"/>
      <c r="AF833" s="61"/>
      <c r="AG833" s="61"/>
      <c r="AH833" s="61"/>
      <c r="AI833" s="61"/>
      <c r="AJ833" s="61"/>
      <c r="AK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2"/>
      <c r="W834" s="61"/>
      <c r="X834" s="61"/>
      <c r="Y834" s="61"/>
      <c r="Z834" s="61"/>
      <c r="AA834" s="61"/>
      <c r="AB834" s="61"/>
      <c r="AC834" s="61"/>
      <c r="AD834" s="61"/>
      <c r="AE834" s="61"/>
      <c r="AF834" s="61"/>
      <c r="AG834" s="61"/>
      <c r="AH834" s="61"/>
      <c r="AI834" s="61"/>
      <c r="AJ834" s="61"/>
      <c r="AK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2"/>
      <c r="W835" s="61"/>
      <c r="X835" s="61"/>
      <c r="Y835" s="61"/>
      <c r="Z835" s="61"/>
      <c r="AA835" s="61"/>
      <c r="AB835" s="61"/>
      <c r="AC835" s="61"/>
      <c r="AD835" s="61"/>
      <c r="AE835" s="61"/>
      <c r="AF835" s="61"/>
      <c r="AG835" s="61"/>
      <c r="AH835" s="61"/>
      <c r="AI835" s="61"/>
      <c r="AJ835" s="61"/>
      <c r="AK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2"/>
      <c r="W836" s="61"/>
      <c r="X836" s="61"/>
      <c r="Y836" s="61"/>
      <c r="Z836" s="61"/>
      <c r="AA836" s="61"/>
      <c r="AB836" s="61"/>
      <c r="AC836" s="61"/>
      <c r="AD836" s="61"/>
      <c r="AE836" s="61"/>
      <c r="AF836" s="61"/>
      <c r="AG836" s="61"/>
      <c r="AH836" s="61"/>
      <c r="AI836" s="61"/>
      <c r="AJ836" s="61"/>
      <c r="AK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2"/>
      <c r="W837" s="61"/>
      <c r="X837" s="61"/>
      <c r="Y837" s="61"/>
      <c r="Z837" s="61"/>
      <c r="AA837" s="61"/>
      <c r="AB837" s="61"/>
      <c r="AC837" s="61"/>
      <c r="AD837" s="61"/>
      <c r="AE837" s="61"/>
      <c r="AF837" s="61"/>
      <c r="AG837" s="61"/>
      <c r="AH837" s="61"/>
      <c r="AI837" s="61"/>
      <c r="AJ837" s="61"/>
      <c r="AK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2"/>
      <c r="W838" s="61"/>
      <c r="X838" s="61"/>
      <c r="Y838" s="61"/>
      <c r="Z838" s="61"/>
      <c r="AA838" s="61"/>
      <c r="AB838" s="61"/>
      <c r="AC838" s="61"/>
      <c r="AD838" s="61"/>
      <c r="AE838" s="61"/>
      <c r="AF838" s="61"/>
      <c r="AG838" s="61"/>
      <c r="AH838" s="61"/>
      <c r="AI838" s="61"/>
      <c r="AJ838" s="61"/>
      <c r="AK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2"/>
      <c r="W839" s="61"/>
      <c r="X839" s="61"/>
      <c r="Y839" s="61"/>
      <c r="Z839" s="61"/>
      <c r="AA839" s="61"/>
      <c r="AB839" s="61"/>
      <c r="AC839" s="61"/>
      <c r="AD839" s="61"/>
      <c r="AE839" s="61"/>
      <c r="AF839" s="61"/>
      <c r="AG839" s="61"/>
      <c r="AH839" s="61"/>
      <c r="AI839" s="61"/>
      <c r="AJ839" s="61"/>
      <c r="AK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2"/>
      <c r="W840" s="61"/>
      <c r="X840" s="61"/>
      <c r="Y840" s="61"/>
      <c r="Z840" s="61"/>
      <c r="AA840" s="61"/>
      <c r="AB840" s="61"/>
      <c r="AC840" s="61"/>
      <c r="AD840" s="61"/>
      <c r="AE840" s="61"/>
      <c r="AF840" s="61"/>
      <c r="AG840" s="61"/>
      <c r="AH840" s="61"/>
      <c r="AI840" s="61"/>
      <c r="AJ840" s="61"/>
      <c r="AK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2"/>
      <c r="W841" s="61"/>
      <c r="X841" s="61"/>
      <c r="Y841" s="61"/>
      <c r="Z841" s="61"/>
      <c r="AA841" s="61"/>
      <c r="AB841" s="61"/>
      <c r="AC841" s="61"/>
      <c r="AD841" s="61"/>
      <c r="AE841" s="61"/>
      <c r="AF841" s="61"/>
      <c r="AG841" s="61"/>
      <c r="AH841" s="61"/>
      <c r="AI841" s="61"/>
      <c r="AJ841" s="61"/>
      <c r="AK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2"/>
      <c r="W842" s="61"/>
      <c r="X842" s="61"/>
      <c r="Y842" s="61"/>
      <c r="Z842" s="61"/>
      <c r="AA842" s="61"/>
      <c r="AB842" s="61"/>
      <c r="AC842" s="61"/>
      <c r="AD842" s="61"/>
      <c r="AE842" s="61"/>
      <c r="AF842" s="61"/>
      <c r="AG842" s="61"/>
      <c r="AH842" s="61"/>
      <c r="AI842" s="61"/>
      <c r="AJ842" s="61"/>
      <c r="AK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2"/>
      <c r="W843" s="61"/>
      <c r="X843" s="61"/>
      <c r="Y843" s="61"/>
      <c r="Z843" s="61"/>
      <c r="AA843" s="61"/>
      <c r="AB843" s="61"/>
      <c r="AC843" s="61"/>
      <c r="AD843" s="61"/>
      <c r="AE843" s="61"/>
      <c r="AF843" s="61"/>
      <c r="AG843" s="61"/>
      <c r="AH843" s="61"/>
      <c r="AI843" s="61"/>
      <c r="AJ843" s="61"/>
      <c r="AK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2"/>
      <c r="W844" s="61"/>
      <c r="X844" s="61"/>
      <c r="Y844" s="61"/>
      <c r="Z844" s="61"/>
      <c r="AA844" s="61"/>
      <c r="AB844" s="61"/>
      <c r="AC844" s="61"/>
      <c r="AD844" s="61"/>
      <c r="AE844" s="61"/>
      <c r="AF844" s="61"/>
      <c r="AG844" s="61"/>
      <c r="AH844" s="61"/>
      <c r="AI844" s="61"/>
      <c r="AJ844" s="61"/>
      <c r="AK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2"/>
      <c r="W845" s="61"/>
      <c r="X845" s="61"/>
      <c r="Y845" s="61"/>
      <c r="Z845" s="61"/>
      <c r="AA845" s="61"/>
      <c r="AB845" s="61"/>
      <c r="AC845" s="61"/>
      <c r="AD845" s="61"/>
      <c r="AE845" s="61"/>
      <c r="AF845" s="61"/>
      <c r="AG845" s="61"/>
      <c r="AH845" s="61"/>
      <c r="AI845" s="61"/>
      <c r="AJ845" s="61"/>
      <c r="AK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2"/>
      <c r="W846" s="61"/>
      <c r="X846" s="61"/>
      <c r="Y846" s="61"/>
      <c r="Z846" s="61"/>
      <c r="AA846" s="61"/>
      <c r="AB846" s="61"/>
      <c r="AC846" s="61"/>
      <c r="AD846" s="61"/>
      <c r="AE846" s="61"/>
      <c r="AF846" s="61"/>
      <c r="AG846" s="61"/>
      <c r="AH846" s="61"/>
      <c r="AI846" s="61"/>
      <c r="AJ846" s="61"/>
      <c r="AK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2"/>
      <c r="W847" s="61"/>
      <c r="X847" s="61"/>
      <c r="Y847" s="61"/>
      <c r="Z847" s="61"/>
      <c r="AA847" s="61"/>
      <c r="AB847" s="61"/>
      <c r="AC847" s="61"/>
      <c r="AD847" s="61"/>
      <c r="AE847" s="61"/>
      <c r="AF847" s="61"/>
      <c r="AG847" s="61"/>
      <c r="AH847" s="61"/>
      <c r="AI847" s="61"/>
      <c r="AJ847" s="61"/>
      <c r="AK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2"/>
      <c r="W848" s="61"/>
      <c r="X848" s="61"/>
      <c r="Y848" s="61"/>
      <c r="Z848" s="61"/>
      <c r="AA848" s="61"/>
      <c r="AB848" s="61"/>
      <c r="AC848" s="61"/>
      <c r="AD848" s="61"/>
      <c r="AE848" s="61"/>
      <c r="AF848" s="61"/>
      <c r="AG848" s="61"/>
      <c r="AH848" s="61"/>
      <c r="AI848" s="61"/>
      <c r="AJ848" s="61"/>
      <c r="AK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2"/>
      <c r="W849" s="61"/>
      <c r="X849" s="61"/>
      <c r="Y849" s="61"/>
      <c r="Z849" s="61"/>
      <c r="AA849" s="61"/>
      <c r="AB849" s="61"/>
      <c r="AC849" s="61"/>
      <c r="AD849" s="61"/>
      <c r="AE849" s="61"/>
      <c r="AF849" s="61"/>
      <c r="AG849" s="61"/>
      <c r="AH849" s="61"/>
      <c r="AI849" s="61"/>
      <c r="AJ849" s="61"/>
      <c r="AK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2"/>
      <c r="W850" s="61"/>
      <c r="X850" s="61"/>
      <c r="Y850" s="61"/>
      <c r="Z850" s="61"/>
      <c r="AA850" s="61"/>
      <c r="AB850" s="61"/>
      <c r="AC850" s="61"/>
      <c r="AD850" s="61"/>
      <c r="AE850" s="61"/>
      <c r="AF850" s="61"/>
      <c r="AG850" s="61"/>
      <c r="AH850" s="61"/>
      <c r="AI850" s="61"/>
      <c r="AJ850" s="61"/>
      <c r="AK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2"/>
      <c r="W851" s="61"/>
      <c r="X851" s="61"/>
      <c r="Y851" s="61"/>
      <c r="Z851" s="61"/>
      <c r="AA851" s="61"/>
      <c r="AB851" s="61"/>
      <c r="AC851" s="61"/>
      <c r="AD851" s="61"/>
      <c r="AE851" s="61"/>
      <c r="AF851" s="61"/>
      <c r="AG851" s="61"/>
      <c r="AH851" s="61"/>
      <c r="AI851" s="61"/>
      <c r="AJ851" s="61"/>
      <c r="AK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2"/>
      <c r="W852" s="61"/>
      <c r="X852" s="61"/>
      <c r="Y852" s="61"/>
      <c r="Z852" s="61"/>
      <c r="AA852" s="61"/>
      <c r="AB852" s="61"/>
      <c r="AC852" s="61"/>
      <c r="AD852" s="61"/>
      <c r="AE852" s="61"/>
      <c r="AF852" s="61"/>
      <c r="AG852" s="61"/>
      <c r="AH852" s="61"/>
      <c r="AI852" s="61"/>
      <c r="AJ852" s="61"/>
      <c r="AK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2"/>
      <c r="W853" s="61"/>
      <c r="X853" s="61"/>
      <c r="Y853" s="61"/>
      <c r="Z853" s="61"/>
      <c r="AA853" s="61"/>
      <c r="AB853" s="61"/>
      <c r="AC853" s="61"/>
      <c r="AD853" s="61"/>
      <c r="AE853" s="61"/>
      <c r="AF853" s="61"/>
      <c r="AG853" s="61"/>
      <c r="AH853" s="61"/>
      <c r="AI853" s="61"/>
      <c r="AJ853" s="61"/>
      <c r="AK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2"/>
      <c r="W854" s="61"/>
      <c r="X854" s="61"/>
      <c r="Y854" s="61"/>
      <c r="Z854" s="61"/>
      <c r="AA854" s="61"/>
      <c r="AB854" s="61"/>
      <c r="AC854" s="61"/>
      <c r="AD854" s="61"/>
      <c r="AE854" s="61"/>
      <c r="AF854" s="61"/>
      <c r="AG854" s="61"/>
      <c r="AH854" s="61"/>
      <c r="AI854" s="61"/>
      <c r="AJ854" s="61"/>
      <c r="AK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2"/>
      <c r="W855" s="61"/>
      <c r="X855" s="61"/>
      <c r="Y855" s="61"/>
      <c r="Z855" s="61"/>
      <c r="AA855" s="61"/>
      <c r="AB855" s="61"/>
      <c r="AC855" s="61"/>
      <c r="AD855" s="61"/>
      <c r="AE855" s="61"/>
      <c r="AF855" s="61"/>
      <c r="AG855" s="61"/>
      <c r="AH855" s="61"/>
      <c r="AI855" s="61"/>
      <c r="AJ855" s="61"/>
      <c r="AK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2"/>
      <c r="W856" s="61"/>
      <c r="X856" s="61"/>
      <c r="Y856" s="61"/>
      <c r="Z856" s="61"/>
      <c r="AA856" s="61"/>
      <c r="AB856" s="61"/>
      <c r="AC856" s="61"/>
      <c r="AD856" s="61"/>
      <c r="AE856" s="61"/>
      <c r="AF856" s="61"/>
      <c r="AG856" s="61"/>
      <c r="AH856" s="61"/>
      <c r="AI856" s="61"/>
      <c r="AJ856" s="61"/>
      <c r="AK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2"/>
      <c r="W857" s="61"/>
      <c r="X857" s="61"/>
      <c r="Y857" s="61"/>
      <c r="Z857" s="61"/>
      <c r="AA857" s="61"/>
      <c r="AB857" s="61"/>
      <c r="AC857" s="61"/>
      <c r="AD857" s="61"/>
      <c r="AE857" s="61"/>
      <c r="AF857" s="61"/>
      <c r="AG857" s="61"/>
      <c r="AH857" s="61"/>
      <c r="AI857" s="61"/>
      <c r="AJ857" s="61"/>
      <c r="AK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2"/>
      <c r="W858" s="61"/>
      <c r="X858" s="61"/>
      <c r="Y858" s="61"/>
      <c r="Z858" s="61"/>
      <c r="AA858" s="61"/>
      <c r="AB858" s="61"/>
      <c r="AC858" s="61"/>
      <c r="AD858" s="61"/>
      <c r="AE858" s="61"/>
      <c r="AF858" s="61"/>
      <c r="AG858" s="61"/>
      <c r="AH858" s="61"/>
      <c r="AI858" s="61"/>
      <c r="AJ858" s="61"/>
      <c r="AK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2"/>
      <c r="W859" s="61"/>
      <c r="X859" s="61"/>
      <c r="Y859" s="61"/>
      <c r="Z859" s="61"/>
      <c r="AA859" s="61"/>
      <c r="AB859" s="61"/>
      <c r="AC859" s="61"/>
      <c r="AD859" s="61"/>
      <c r="AE859" s="61"/>
      <c r="AF859" s="61"/>
      <c r="AG859" s="61"/>
      <c r="AH859" s="61"/>
      <c r="AI859" s="61"/>
      <c r="AJ859" s="61"/>
      <c r="AK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2"/>
      <c r="W860" s="61"/>
      <c r="X860" s="61"/>
      <c r="Y860" s="61"/>
      <c r="Z860" s="61"/>
      <c r="AA860" s="61"/>
      <c r="AB860" s="61"/>
      <c r="AC860" s="61"/>
      <c r="AD860" s="61"/>
      <c r="AE860" s="61"/>
      <c r="AF860" s="61"/>
      <c r="AG860" s="61"/>
      <c r="AH860" s="61"/>
      <c r="AI860" s="61"/>
      <c r="AJ860" s="61"/>
      <c r="AK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2"/>
      <c r="W861" s="61"/>
      <c r="X861" s="61"/>
      <c r="Y861" s="61"/>
      <c r="Z861" s="61"/>
      <c r="AA861" s="61"/>
      <c r="AB861" s="61"/>
      <c r="AC861" s="61"/>
      <c r="AD861" s="61"/>
      <c r="AE861" s="61"/>
      <c r="AF861" s="61"/>
      <c r="AG861" s="61"/>
      <c r="AH861" s="61"/>
      <c r="AI861" s="61"/>
      <c r="AJ861" s="61"/>
      <c r="AK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2"/>
      <c r="W862" s="61"/>
      <c r="X862" s="61"/>
      <c r="Y862" s="61"/>
      <c r="Z862" s="61"/>
      <c r="AA862" s="61"/>
      <c r="AB862" s="61"/>
      <c r="AC862" s="61"/>
      <c r="AD862" s="61"/>
      <c r="AE862" s="61"/>
      <c r="AF862" s="61"/>
      <c r="AG862" s="61"/>
      <c r="AH862" s="61"/>
      <c r="AI862" s="61"/>
      <c r="AJ862" s="61"/>
      <c r="AK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2"/>
      <c r="W863" s="61"/>
      <c r="X863" s="61"/>
      <c r="Y863" s="61"/>
      <c r="Z863" s="61"/>
      <c r="AA863" s="61"/>
      <c r="AB863" s="61"/>
      <c r="AC863" s="61"/>
      <c r="AD863" s="61"/>
      <c r="AE863" s="61"/>
      <c r="AF863" s="61"/>
      <c r="AG863" s="61"/>
      <c r="AH863" s="61"/>
      <c r="AI863" s="61"/>
      <c r="AJ863" s="61"/>
      <c r="AK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2"/>
      <c r="W864" s="61"/>
      <c r="X864" s="61"/>
      <c r="Y864" s="61"/>
      <c r="Z864" s="61"/>
      <c r="AA864" s="61"/>
      <c r="AB864" s="61"/>
      <c r="AC864" s="61"/>
      <c r="AD864" s="61"/>
      <c r="AE864" s="61"/>
      <c r="AF864" s="61"/>
      <c r="AG864" s="61"/>
      <c r="AH864" s="61"/>
      <c r="AI864" s="61"/>
      <c r="AJ864" s="61"/>
      <c r="AK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2"/>
      <c r="W865" s="61"/>
      <c r="X865" s="61"/>
      <c r="Y865" s="61"/>
      <c r="Z865" s="61"/>
      <c r="AA865" s="61"/>
      <c r="AB865" s="61"/>
      <c r="AC865" s="61"/>
      <c r="AD865" s="61"/>
      <c r="AE865" s="61"/>
      <c r="AF865" s="61"/>
      <c r="AG865" s="61"/>
      <c r="AH865" s="61"/>
      <c r="AI865" s="61"/>
      <c r="AJ865" s="61"/>
      <c r="AK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2"/>
      <c r="W866" s="61"/>
      <c r="X866" s="61"/>
      <c r="Y866" s="61"/>
      <c r="Z866" s="61"/>
      <c r="AA866" s="61"/>
      <c r="AB866" s="61"/>
      <c r="AC866" s="61"/>
      <c r="AD866" s="61"/>
      <c r="AE866" s="61"/>
      <c r="AF866" s="61"/>
      <c r="AG866" s="61"/>
      <c r="AH866" s="61"/>
      <c r="AI866" s="61"/>
      <c r="AJ866" s="61"/>
      <c r="AK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2"/>
      <c r="W867" s="61"/>
      <c r="X867" s="61"/>
      <c r="Y867" s="61"/>
      <c r="Z867" s="61"/>
      <c r="AA867" s="61"/>
      <c r="AB867" s="61"/>
      <c r="AC867" s="61"/>
      <c r="AD867" s="61"/>
      <c r="AE867" s="61"/>
      <c r="AF867" s="61"/>
      <c r="AG867" s="61"/>
      <c r="AH867" s="61"/>
      <c r="AI867" s="61"/>
      <c r="AJ867" s="61"/>
      <c r="AK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2"/>
      <c r="W868" s="61"/>
      <c r="X868" s="61"/>
      <c r="Y868" s="61"/>
      <c r="Z868" s="61"/>
      <c r="AA868" s="61"/>
      <c r="AB868" s="61"/>
      <c r="AC868" s="61"/>
      <c r="AD868" s="61"/>
      <c r="AE868" s="61"/>
      <c r="AF868" s="61"/>
      <c r="AG868" s="61"/>
      <c r="AH868" s="61"/>
      <c r="AI868" s="61"/>
      <c r="AJ868" s="61"/>
      <c r="AK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2"/>
      <c r="W869" s="61"/>
      <c r="X869" s="61"/>
      <c r="Y869" s="61"/>
      <c r="Z869" s="61"/>
      <c r="AA869" s="61"/>
      <c r="AB869" s="61"/>
      <c r="AC869" s="61"/>
      <c r="AD869" s="61"/>
      <c r="AE869" s="61"/>
      <c r="AF869" s="61"/>
      <c r="AG869" s="61"/>
      <c r="AH869" s="61"/>
      <c r="AI869" s="61"/>
      <c r="AJ869" s="61"/>
      <c r="AK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2"/>
      <c r="W870" s="61"/>
      <c r="X870" s="61"/>
      <c r="Y870" s="61"/>
      <c r="Z870" s="61"/>
      <c r="AA870" s="61"/>
      <c r="AB870" s="61"/>
      <c r="AC870" s="61"/>
      <c r="AD870" s="61"/>
      <c r="AE870" s="61"/>
      <c r="AF870" s="61"/>
      <c r="AG870" s="61"/>
      <c r="AH870" s="61"/>
      <c r="AI870" s="61"/>
      <c r="AJ870" s="61"/>
      <c r="AK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2"/>
      <c r="W871" s="61"/>
      <c r="X871" s="61"/>
      <c r="Y871" s="61"/>
      <c r="Z871" s="61"/>
      <c r="AA871" s="61"/>
      <c r="AB871" s="61"/>
      <c r="AC871" s="61"/>
      <c r="AD871" s="61"/>
      <c r="AE871" s="61"/>
      <c r="AF871" s="61"/>
      <c r="AG871" s="61"/>
      <c r="AH871" s="61"/>
      <c r="AI871" s="61"/>
      <c r="AJ871" s="61"/>
      <c r="AK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2"/>
      <c r="W872" s="61"/>
      <c r="X872" s="61"/>
      <c r="Y872" s="61"/>
      <c r="Z872" s="61"/>
      <c r="AA872" s="61"/>
      <c r="AB872" s="61"/>
      <c r="AC872" s="61"/>
      <c r="AD872" s="61"/>
      <c r="AE872" s="61"/>
      <c r="AF872" s="61"/>
      <c r="AG872" s="61"/>
      <c r="AH872" s="61"/>
      <c r="AI872" s="61"/>
      <c r="AJ872" s="61"/>
      <c r="AK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2"/>
      <c r="W873" s="61"/>
      <c r="X873" s="61"/>
      <c r="Y873" s="61"/>
      <c r="Z873" s="61"/>
      <c r="AA873" s="61"/>
      <c r="AB873" s="61"/>
      <c r="AC873" s="61"/>
      <c r="AD873" s="61"/>
      <c r="AE873" s="61"/>
      <c r="AF873" s="61"/>
      <c r="AG873" s="61"/>
      <c r="AH873" s="61"/>
      <c r="AI873" s="61"/>
      <c r="AJ873" s="61"/>
      <c r="AK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2"/>
      <c r="W874" s="61"/>
      <c r="X874" s="61"/>
      <c r="Y874" s="61"/>
      <c r="Z874" s="61"/>
      <c r="AA874" s="61"/>
      <c r="AB874" s="61"/>
      <c r="AC874" s="61"/>
      <c r="AD874" s="61"/>
      <c r="AE874" s="61"/>
      <c r="AF874" s="61"/>
      <c r="AG874" s="61"/>
      <c r="AH874" s="61"/>
      <c r="AI874" s="61"/>
      <c r="AJ874" s="61"/>
      <c r="AK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2"/>
      <c r="W875" s="61"/>
      <c r="X875" s="61"/>
      <c r="Y875" s="61"/>
      <c r="Z875" s="61"/>
      <c r="AA875" s="61"/>
      <c r="AB875" s="61"/>
      <c r="AC875" s="61"/>
      <c r="AD875" s="61"/>
      <c r="AE875" s="61"/>
      <c r="AF875" s="61"/>
      <c r="AG875" s="61"/>
      <c r="AH875" s="61"/>
      <c r="AI875" s="61"/>
      <c r="AJ875" s="61"/>
      <c r="AK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2"/>
      <c r="W876" s="61"/>
      <c r="X876" s="61"/>
      <c r="Y876" s="61"/>
      <c r="Z876" s="61"/>
      <c r="AA876" s="61"/>
      <c r="AB876" s="61"/>
      <c r="AC876" s="61"/>
      <c r="AD876" s="61"/>
      <c r="AE876" s="61"/>
      <c r="AF876" s="61"/>
      <c r="AG876" s="61"/>
      <c r="AH876" s="61"/>
      <c r="AI876" s="61"/>
      <c r="AJ876" s="61"/>
      <c r="AK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2"/>
      <c r="W877" s="61"/>
      <c r="X877" s="61"/>
      <c r="Y877" s="61"/>
      <c r="Z877" s="61"/>
      <c r="AA877" s="61"/>
      <c r="AB877" s="61"/>
      <c r="AC877" s="61"/>
      <c r="AD877" s="61"/>
      <c r="AE877" s="61"/>
      <c r="AF877" s="61"/>
      <c r="AG877" s="61"/>
      <c r="AH877" s="61"/>
      <c r="AI877" s="61"/>
      <c r="AJ877" s="61"/>
      <c r="AK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2"/>
      <c r="W878" s="61"/>
      <c r="X878" s="61"/>
      <c r="Y878" s="61"/>
      <c r="Z878" s="61"/>
      <c r="AA878" s="61"/>
      <c r="AB878" s="61"/>
      <c r="AC878" s="61"/>
      <c r="AD878" s="61"/>
      <c r="AE878" s="61"/>
      <c r="AF878" s="61"/>
      <c r="AG878" s="61"/>
      <c r="AH878" s="61"/>
      <c r="AI878" s="61"/>
      <c r="AJ878" s="61"/>
      <c r="AK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2"/>
      <c r="W879" s="61"/>
      <c r="X879" s="61"/>
      <c r="Y879" s="61"/>
      <c r="Z879" s="61"/>
      <c r="AA879" s="61"/>
      <c r="AB879" s="61"/>
      <c r="AC879" s="61"/>
      <c r="AD879" s="61"/>
      <c r="AE879" s="61"/>
      <c r="AF879" s="61"/>
      <c r="AG879" s="61"/>
      <c r="AH879" s="61"/>
      <c r="AI879" s="61"/>
      <c r="AJ879" s="61"/>
      <c r="AK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2"/>
      <c r="W880" s="61"/>
      <c r="X880" s="61"/>
      <c r="Y880" s="61"/>
      <c r="Z880" s="61"/>
      <c r="AA880" s="61"/>
      <c r="AB880" s="61"/>
      <c r="AC880" s="61"/>
      <c r="AD880" s="61"/>
      <c r="AE880" s="61"/>
      <c r="AF880" s="61"/>
      <c r="AG880" s="61"/>
      <c r="AH880" s="61"/>
      <c r="AI880" s="61"/>
      <c r="AJ880" s="61"/>
      <c r="AK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2"/>
      <c r="W881" s="61"/>
      <c r="X881" s="61"/>
      <c r="Y881" s="61"/>
      <c r="Z881" s="61"/>
      <c r="AA881" s="61"/>
      <c r="AB881" s="61"/>
      <c r="AC881" s="61"/>
      <c r="AD881" s="61"/>
      <c r="AE881" s="61"/>
      <c r="AF881" s="61"/>
      <c r="AG881" s="61"/>
      <c r="AH881" s="61"/>
      <c r="AI881" s="61"/>
      <c r="AJ881" s="61"/>
      <c r="AK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2"/>
      <c r="W882" s="61"/>
      <c r="X882" s="61"/>
      <c r="Y882" s="61"/>
      <c r="Z882" s="61"/>
      <c r="AA882" s="61"/>
      <c r="AB882" s="61"/>
      <c r="AC882" s="61"/>
      <c r="AD882" s="61"/>
      <c r="AE882" s="61"/>
      <c r="AF882" s="61"/>
      <c r="AG882" s="61"/>
      <c r="AH882" s="61"/>
      <c r="AI882" s="61"/>
      <c r="AJ882" s="61"/>
      <c r="AK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2"/>
      <c r="W883" s="61"/>
      <c r="X883" s="61"/>
      <c r="Y883" s="61"/>
      <c r="Z883" s="61"/>
      <c r="AA883" s="61"/>
      <c r="AB883" s="61"/>
      <c r="AC883" s="61"/>
      <c r="AD883" s="61"/>
      <c r="AE883" s="61"/>
      <c r="AF883" s="61"/>
      <c r="AG883" s="61"/>
      <c r="AH883" s="61"/>
      <c r="AI883" s="61"/>
      <c r="AJ883" s="61"/>
      <c r="AK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2"/>
      <c r="W884" s="61"/>
      <c r="X884" s="61"/>
      <c r="Y884" s="61"/>
      <c r="Z884" s="61"/>
      <c r="AA884" s="61"/>
      <c r="AB884" s="61"/>
      <c r="AC884" s="61"/>
      <c r="AD884" s="61"/>
      <c r="AE884" s="61"/>
      <c r="AF884" s="61"/>
      <c r="AG884" s="61"/>
      <c r="AH884" s="61"/>
      <c r="AI884" s="61"/>
      <c r="AJ884" s="61"/>
      <c r="AK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2"/>
      <c r="W885" s="61"/>
      <c r="X885" s="61"/>
      <c r="Y885" s="61"/>
      <c r="Z885" s="61"/>
      <c r="AA885" s="61"/>
      <c r="AB885" s="61"/>
      <c r="AC885" s="61"/>
      <c r="AD885" s="61"/>
      <c r="AE885" s="61"/>
      <c r="AF885" s="61"/>
      <c r="AG885" s="61"/>
      <c r="AH885" s="61"/>
      <c r="AI885" s="61"/>
      <c r="AJ885" s="61"/>
      <c r="AK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2"/>
      <c r="W886" s="61"/>
      <c r="X886" s="61"/>
      <c r="Y886" s="61"/>
      <c r="Z886" s="61"/>
      <c r="AA886" s="61"/>
      <c r="AB886" s="61"/>
      <c r="AC886" s="61"/>
      <c r="AD886" s="61"/>
      <c r="AE886" s="61"/>
      <c r="AF886" s="61"/>
      <c r="AG886" s="61"/>
      <c r="AH886" s="61"/>
      <c r="AI886" s="61"/>
      <c r="AJ886" s="61"/>
      <c r="AK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2"/>
      <c r="W887" s="61"/>
      <c r="X887" s="61"/>
      <c r="Y887" s="61"/>
      <c r="Z887" s="61"/>
      <c r="AA887" s="61"/>
      <c r="AB887" s="61"/>
      <c r="AC887" s="61"/>
      <c r="AD887" s="61"/>
      <c r="AE887" s="61"/>
      <c r="AF887" s="61"/>
      <c r="AG887" s="61"/>
      <c r="AH887" s="61"/>
      <c r="AI887" s="61"/>
      <c r="AJ887" s="61"/>
      <c r="AK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2"/>
      <c r="W888" s="61"/>
      <c r="X888" s="61"/>
      <c r="Y888" s="61"/>
      <c r="Z888" s="61"/>
      <c r="AA888" s="61"/>
      <c r="AB888" s="61"/>
      <c r="AC888" s="61"/>
      <c r="AD888" s="61"/>
      <c r="AE888" s="61"/>
      <c r="AF888" s="61"/>
      <c r="AG888" s="61"/>
      <c r="AH888" s="61"/>
      <c r="AI888" s="61"/>
      <c r="AJ888" s="61"/>
      <c r="AK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2"/>
      <c r="W889" s="61"/>
      <c r="X889" s="61"/>
      <c r="Y889" s="61"/>
      <c r="Z889" s="61"/>
      <c r="AA889" s="61"/>
      <c r="AB889" s="61"/>
      <c r="AC889" s="61"/>
      <c r="AD889" s="61"/>
      <c r="AE889" s="61"/>
      <c r="AF889" s="61"/>
      <c r="AG889" s="61"/>
      <c r="AH889" s="61"/>
      <c r="AI889" s="61"/>
      <c r="AJ889" s="61"/>
      <c r="AK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2"/>
      <c r="W890" s="61"/>
      <c r="X890" s="61"/>
      <c r="Y890" s="61"/>
      <c r="Z890" s="61"/>
      <c r="AA890" s="61"/>
      <c r="AB890" s="61"/>
      <c r="AC890" s="61"/>
      <c r="AD890" s="61"/>
      <c r="AE890" s="61"/>
      <c r="AF890" s="61"/>
      <c r="AG890" s="61"/>
      <c r="AH890" s="61"/>
      <c r="AI890" s="61"/>
      <c r="AJ890" s="61"/>
      <c r="AK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2"/>
      <c r="W891" s="61"/>
      <c r="X891" s="61"/>
      <c r="Y891" s="61"/>
      <c r="Z891" s="61"/>
      <c r="AA891" s="61"/>
      <c r="AB891" s="61"/>
      <c r="AC891" s="61"/>
      <c r="AD891" s="61"/>
      <c r="AE891" s="61"/>
      <c r="AF891" s="61"/>
      <c r="AG891" s="61"/>
      <c r="AH891" s="61"/>
      <c r="AI891" s="61"/>
      <c r="AJ891" s="61"/>
      <c r="AK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2"/>
      <c r="W892" s="61"/>
      <c r="X892" s="61"/>
      <c r="Y892" s="61"/>
      <c r="Z892" s="61"/>
      <c r="AA892" s="61"/>
      <c r="AB892" s="61"/>
      <c r="AC892" s="61"/>
      <c r="AD892" s="61"/>
      <c r="AE892" s="61"/>
      <c r="AF892" s="61"/>
      <c r="AG892" s="61"/>
      <c r="AH892" s="61"/>
      <c r="AI892" s="61"/>
      <c r="AJ892" s="61"/>
      <c r="AK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2"/>
      <c r="W893" s="61"/>
      <c r="X893" s="61"/>
      <c r="Y893" s="61"/>
      <c r="Z893" s="61"/>
      <c r="AA893" s="61"/>
      <c r="AB893" s="61"/>
      <c r="AC893" s="61"/>
      <c r="AD893" s="61"/>
      <c r="AE893" s="61"/>
      <c r="AF893" s="61"/>
      <c r="AG893" s="61"/>
      <c r="AH893" s="61"/>
      <c r="AI893" s="61"/>
      <c r="AJ893" s="61"/>
      <c r="AK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2"/>
      <c r="W894" s="61"/>
      <c r="X894" s="61"/>
      <c r="Y894" s="61"/>
      <c r="Z894" s="61"/>
      <c r="AA894" s="61"/>
      <c r="AB894" s="61"/>
      <c r="AC894" s="61"/>
      <c r="AD894" s="61"/>
      <c r="AE894" s="61"/>
      <c r="AF894" s="61"/>
      <c r="AG894" s="61"/>
      <c r="AH894" s="61"/>
      <c r="AI894" s="61"/>
      <c r="AJ894" s="61"/>
      <c r="AK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2"/>
      <c r="W895" s="61"/>
      <c r="X895" s="61"/>
      <c r="Y895" s="61"/>
      <c r="Z895" s="61"/>
      <c r="AA895" s="61"/>
      <c r="AB895" s="61"/>
      <c r="AC895" s="61"/>
      <c r="AD895" s="61"/>
      <c r="AE895" s="61"/>
      <c r="AF895" s="61"/>
      <c r="AG895" s="61"/>
      <c r="AH895" s="61"/>
      <c r="AI895" s="61"/>
      <c r="AJ895" s="61"/>
      <c r="AK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2"/>
      <c r="W896" s="61"/>
      <c r="X896" s="61"/>
      <c r="Y896" s="61"/>
      <c r="Z896" s="61"/>
      <c r="AA896" s="61"/>
      <c r="AB896" s="61"/>
      <c r="AC896" s="61"/>
      <c r="AD896" s="61"/>
      <c r="AE896" s="61"/>
      <c r="AF896" s="61"/>
      <c r="AG896" s="61"/>
      <c r="AH896" s="61"/>
      <c r="AI896" s="61"/>
      <c r="AJ896" s="61"/>
      <c r="AK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2"/>
      <c r="W897" s="61"/>
      <c r="X897" s="61"/>
      <c r="Y897" s="61"/>
      <c r="Z897" s="61"/>
      <c r="AA897" s="61"/>
      <c r="AB897" s="61"/>
      <c r="AC897" s="61"/>
      <c r="AD897" s="61"/>
      <c r="AE897" s="61"/>
      <c r="AF897" s="61"/>
      <c r="AG897" s="61"/>
      <c r="AH897" s="61"/>
      <c r="AI897" s="61"/>
      <c r="AJ897" s="61"/>
      <c r="AK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2"/>
      <c r="W898" s="61"/>
      <c r="X898" s="61"/>
      <c r="Y898" s="61"/>
      <c r="Z898" s="61"/>
      <c r="AA898" s="61"/>
      <c r="AB898" s="61"/>
      <c r="AC898" s="61"/>
      <c r="AD898" s="61"/>
      <c r="AE898" s="61"/>
      <c r="AF898" s="61"/>
      <c r="AG898" s="61"/>
      <c r="AH898" s="61"/>
      <c r="AI898" s="61"/>
      <c r="AJ898" s="61"/>
      <c r="AK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2"/>
      <c r="W899" s="61"/>
      <c r="X899" s="61"/>
      <c r="Y899" s="61"/>
      <c r="Z899" s="61"/>
      <c r="AA899" s="61"/>
      <c r="AB899" s="61"/>
      <c r="AC899" s="61"/>
      <c r="AD899" s="61"/>
      <c r="AE899" s="61"/>
      <c r="AF899" s="61"/>
      <c r="AG899" s="61"/>
      <c r="AH899" s="61"/>
      <c r="AI899" s="61"/>
      <c r="AJ899" s="61"/>
      <c r="AK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2"/>
      <c r="W900" s="61"/>
      <c r="X900" s="61"/>
      <c r="Y900" s="61"/>
      <c r="Z900" s="61"/>
      <c r="AA900" s="61"/>
      <c r="AB900" s="61"/>
      <c r="AC900" s="61"/>
      <c r="AD900" s="61"/>
      <c r="AE900" s="61"/>
      <c r="AF900" s="61"/>
      <c r="AG900" s="61"/>
      <c r="AH900" s="61"/>
      <c r="AI900" s="61"/>
      <c r="AJ900" s="61"/>
      <c r="AK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2"/>
      <c r="W901" s="61"/>
      <c r="X901" s="61"/>
      <c r="Y901" s="61"/>
      <c r="Z901" s="61"/>
      <c r="AA901" s="61"/>
      <c r="AB901" s="61"/>
      <c r="AC901" s="61"/>
      <c r="AD901" s="61"/>
      <c r="AE901" s="61"/>
      <c r="AF901" s="61"/>
      <c r="AG901" s="61"/>
      <c r="AH901" s="61"/>
      <c r="AI901" s="61"/>
      <c r="AJ901" s="61"/>
      <c r="AK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2"/>
      <c r="W902" s="61"/>
      <c r="X902" s="61"/>
      <c r="Y902" s="61"/>
      <c r="Z902" s="61"/>
      <c r="AA902" s="61"/>
      <c r="AB902" s="61"/>
      <c r="AC902" s="61"/>
      <c r="AD902" s="61"/>
      <c r="AE902" s="61"/>
      <c r="AF902" s="61"/>
      <c r="AG902" s="61"/>
      <c r="AH902" s="61"/>
      <c r="AI902" s="61"/>
      <c r="AJ902" s="61"/>
      <c r="AK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2"/>
      <c r="W903" s="61"/>
      <c r="X903" s="61"/>
      <c r="Y903" s="61"/>
      <c r="Z903" s="61"/>
      <c r="AA903" s="61"/>
      <c r="AB903" s="61"/>
      <c r="AC903" s="61"/>
      <c r="AD903" s="61"/>
      <c r="AE903" s="61"/>
      <c r="AF903" s="61"/>
      <c r="AG903" s="61"/>
      <c r="AH903" s="61"/>
      <c r="AI903" s="61"/>
      <c r="AJ903" s="61"/>
      <c r="AK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2"/>
      <c r="W904" s="61"/>
      <c r="X904" s="61"/>
      <c r="Y904" s="61"/>
      <c r="Z904" s="61"/>
      <c r="AA904" s="61"/>
      <c r="AB904" s="61"/>
      <c r="AC904" s="61"/>
      <c r="AD904" s="61"/>
      <c r="AE904" s="61"/>
      <c r="AF904" s="61"/>
      <c r="AG904" s="61"/>
      <c r="AH904" s="61"/>
      <c r="AI904" s="61"/>
      <c r="AJ904" s="61"/>
      <c r="AK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2"/>
      <c r="W905" s="61"/>
      <c r="X905" s="61"/>
      <c r="Y905" s="61"/>
      <c r="Z905" s="61"/>
      <c r="AA905" s="61"/>
      <c r="AB905" s="61"/>
      <c r="AC905" s="61"/>
      <c r="AD905" s="61"/>
      <c r="AE905" s="61"/>
      <c r="AF905" s="61"/>
      <c r="AG905" s="61"/>
      <c r="AH905" s="61"/>
      <c r="AI905" s="61"/>
      <c r="AJ905" s="61"/>
      <c r="AK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2"/>
      <c r="W906" s="61"/>
      <c r="X906" s="61"/>
      <c r="Y906" s="61"/>
      <c r="Z906" s="61"/>
      <c r="AA906" s="61"/>
      <c r="AB906" s="61"/>
      <c r="AC906" s="61"/>
      <c r="AD906" s="61"/>
      <c r="AE906" s="61"/>
      <c r="AF906" s="61"/>
      <c r="AG906" s="61"/>
      <c r="AH906" s="61"/>
      <c r="AI906" s="61"/>
      <c r="AJ906" s="61"/>
      <c r="AK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2"/>
      <c r="W907" s="61"/>
      <c r="X907" s="61"/>
      <c r="Y907" s="61"/>
      <c r="Z907" s="61"/>
      <c r="AA907" s="61"/>
      <c r="AB907" s="61"/>
      <c r="AC907" s="61"/>
      <c r="AD907" s="61"/>
      <c r="AE907" s="61"/>
      <c r="AF907" s="61"/>
      <c r="AG907" s="61"/>
      <c r="AH907" s="61"/>
      <c r="AI907" s="61"/>
      <c r="AJ907" s="61"/>
      <c r="AK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2"/>
      <c r="W908" s="61"/>
      <c r="X908" s="61"/>
      <c r="Y908" s="61"/>
      <c r="Z908" s="61"/>
      <c r="AA908" s="61"/>
      <c r="AB908" s="61"/>
      <c r="AC908" s="61"/>
      <c r="AD908" s="61"/>
      <c r="AE908" s="61"/>
      <c r="AF908" s="61"/>
      <c r="AG908" s="61"/>
      <c r="AH908" s="61"/>
      <c r="AI908" s="61"/>
      <c r="AJ908" s="61"/>
      <c r="AK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2"/>
      <c r="W909" s="61"/>
      <c r="X909" s="61"/>
      <c r="Y909" s="61"/>
      <c r="Z909" s="61"/>
      <c r="AA909" s="61"/>
      <c r="AB909" s="61"/>
      <c r="AC909" s="61"/>
      <c r="AD909" s="61"/>
      <c r="AE909" s="61"/>
      <c r="AF909" s="61"/>
      <c r="AG909" s="61"/>
      <c r="AH909" s="61"/>
      <c r="AI909" s="61"/>
      <c r="AJ909" s="61"/>
      <c r="AK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2"/>
      <c r="W910" s="61"/>
      <c r="X910" s="61"/>
      <c r="Y910" s="61"/>
      <c r="Z910" s="61"/>
      <c r="AA910" s="61"/>
      <c r="AB910" s="61"/>
      <c r="AC910" s="61"/>
      <c r="AD910" s="61"/>
      <c r="AE910" s="61"/>
      <c r="AF910" s="61"/>
      <c r="AG910" s="61"/>
      <c r="AH910" s="61"/>
      <c r="AI910" s="61"/>
      <c r="AJ910" s="61"/>
      <c r="AK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2"/>
      <c r="W911" s="61"/>
      <c r="X911" s="61"/>
      <c r="Y911" s="61"/>
      <c r="Z911" s="61"/>
      <c r="AA911" s="61"/>
      <c r="AB911" s="61"/>
      <c r="AC911" s="61"/>
      <c r="AD911" s="61"/>
      <c r="AE911" s="61"/>
      <c r="AF911" s="61"/>
      <c r="AG911" s="61"/>
      <c r="AH911" s="61"/>
      <c r="AI911" s="61"/>
      <c r="AJ911" s="61"/>
      <c r="AK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2"/>
      <c r="W912" s="61"/>
      <c r="X912" s="61"/>
      <c r="Y912" s="61"/>
      <c r="Z912" s="61"/>
      <c r="AA912" s="61"/>
      <c r="AB912" s="61"/>
      <c r="AC912" s="61"/>
      <c r="AD912" s="61"/>
      <c r="AE912" s="61"/>
      <c r="AF912" s="61"/>
      <c r="AG912" s="61"/>
      <c r="AH912" s="61"/>
      <c r="AI912" s="61"/>
      <c r="AJ912" s="61"/>
      <c r="AK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2"/>
      <c r="W913" s="61"/>
      <c r="X913" s="61"/>
      <c r="Y913" s="61"/>
      <c r="Z913" s="61"/>
      <c r="AA913" s="61"/>
      <c r="AB913" s="61"/>
      <c r="AC913" s="61"/>
      <c r="AD913" s="61"/>
      <c r="AE913" s="61"/>
      <c r="AF913" s="61"/>
      <c r="AG913" s="61"/>
      <c r="AH913" s="61"/>
      <c r="AI913" s="61"/>
      <c r="AJ913" s="61"/>
      <c r="AK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2"/>
      <c r="W914" s="61"/>
      <c r="X914" s="61"/>
      <c r="Y914" s="61"/>
      <c r="Z914" s="61"/>
      <c r="AA914" s="61"/>
      <c r="AB914" s="61"/>
      <c r="AC914" s="61"/>
      <c r="AD914" s="61"/>
      <c r="AE914" s="61"/>
      <c r="AF914" s="61"/>
      <c r="AG914" s="61"/>
      <c r="AH914" s="61"/>
      <c r="AI914" s="61"/>
      <c r="AJ914" s="61"/>
      <c r="AK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2"/>
      <c r="W915" s="61"/>
      <c r="X915" s="61"/>
      <c r="Y915" s="61"/>
      <c r="Z915" s="61"/>
      <c r="AA915" s="61"/>
      <c r="AB915" s="61"/>
      <c r="AC915" s="61"/>
      <c r="AD915" s="61"/>
      <c r="AE915" s="61"/>
      <c r="AF915" s="61"/>
      <c r="AG915" s="61"/>
      <c r="AH915" s="61"/>
      <c r="AI915" s="61"/>
      <c r="AJ915" s="61"/>
      <c r="AK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2"/>
      <c r="W916" s="61"/>
      <c r="X916" s="61"/>
      <c r="Y916" s="61"/>
      <c r="Z916" s="61"/>
      <c r="AA916" s="61"/>
      <c r="AB916" s="61"/>
      <c r="AC916" s="61"/>
      <c r="AD916" s="61"/>
      <c r="AE916" s="61"/>
      <c r="AF916" s="61"/>
      <c r="AG916" s="61"/>
      <c r="AH916" s="61"/>
      <c r="AI916" s="61"/>
      <c r="AJ916" s="61"/>
      <c r="AK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2"/>
      <c r="W917" s="61"/>
      <c r="X917" s="61"/>
      <c r="Y917" s="61"/>
      <c r="Z917" s="61"/>
      <c r="AA917" s="61"/>
      <c r="AB917" s="61"/>
      <c r="AC917" s="61"/>
      <c r="AD917" s="61"/>
      <c r="AE917" s="61"/>
      <c r="AF917" s="61"/>
      <c r="AG917" s="61"/>
      <c r="AH917" s="61"/>
      <c r="AI917" s="61"/>
      <c r="AJ917" s="61"/>
      <c r="AK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2"/>
      <c r="W918" s="61"/>
      <c r="X918" s="61"/>
      <c r="Y918" s="61"/>
      <c r="Z918" s="61"/>
      <c r="AA918" s="61"/>
      <c r="AB918" s="61"/>
      <c r="AC918" s="61"/>
      <c r="AD918" s="61"/>
      <c r="AE918" s="61"/>
      <c r="AF918" s="61"/>
      <c r="AG918" s="61"/>
      <c r="AH918" s="61"/>
      <c r="AI918" s="61"/>
      <c r="AJ918" s="61"/>
      <c r="AK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2"/>
      <c r="W919" s="61"/>
      <c r="X919" s="61"/>
      <c r="Y919" s="61"/>
      <c r="Z919" s="61"/>
      <c r="AA919" s="61"/>
      <c r="AB919" s="61"/>
      <c r="AC919" s="61"/>
      <c r="AD919" s="61"/>
      <c r="AE919" s="61"/>
      <c r="AF919" s="61"/>
      <c r="AG919" s="61"/>
      <c r="AH919" s="61"/>
      <c r="AI919" s="61"/>
      <c r="AJ919" s="61"/>
      <c r="AK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2"/>
      <c r="W920" s="61"/>
      <c r="X920" s="61"/>
      <c r="Y920" s="61"/>
      <c r="Z920" s="61"/>
      <c r="AA920" s="61"/>
      <c r="AB920" s="61"/>
      <c r="AC920" s="61"/>
      <c r="AD920" s="61"/>
      <c r="AE920" s="61"/>
      <c r="AF920" s="61"/>
      <c r="AG920" s="61"/>
      <c r="AH920" s="61"/>
      <c r="AI920" s="61"/>
      <c r="AJ920" s="61"/>
      <c r="AK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2"/>
      <c r="W921" s="61"/>
      <c r="X921" s="61"/>
      <c r="Y921" s="61"/>
      <c r="Z921" s="61"/>
      <c r="AA921" s="61"/>
      <c r="AB921" s="61"/>
      <c r="AC921" s="61"/>
      <c r="AD921" s="61"/>
      <c r="AE921" s="61"/>
      <c r="AF921" s="61"/>
      <c r="AG921" s="61"/>
      <c r="AH921" s="61"/>
      <c r="AI921" s="61"/>
      <c r="AJ921" s="61"/>
      <c r="AK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2"/>
      <c r="W922" s="61"/>
      <c r="X922" s="61"/>
      <c r="Y922" s="61"/>
      <c r="Z922" s="61"/>
      <c r="AA922" s="61"/>
      <c r="AB922" s="61"/>
      <c r="AC922" s="61"/>
      <c r="AD922" s="61"/>
      <c r="AE922" s="61"/>
      <c r="AF922" s="61"/>
      <c r="AG922" s="61"/>
      <c r="AH922" s="61"/>
      <c r="AI922" s="61"/>
      <c r="AJ922" s="61"/>
      <c r="AK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2"/>
      <c r="W923" s="61"/>
      <c r="X923" s="61"/>
      <c r="Y923" s="61"/>
      <c r="Z923" s="61"/>
      <c r="AA923" s="61"/>
      <c r="AB923" s="61"/>
      <c r="AC923" s="61"/>
      <c r="AD923" s="61"/>
      <c r="AE923" s="61"/>
      <c r="AF923" s="61"/>
      <c r="AG923" s="61"/>
      <c r="AH923" s="61"/>
      <c r="AI923" s="61"/>
      <c r="AJ923" s="61"/>
      <c r="AK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2"/>
      <c r="W924" s="61"/>
      <c r="X924" s="61"/>
      <c r="Y924" s="61"/>
      <c r="Z924" s="61"/>
      <c r="AA924" s="61"/>
      <c r="AB924" s="61"/>
      <c r="AC924" s="61"/>
      <c r="AD924" s="61"/>
      <c r="AE924" s="61"/>
      <c r="AF924" s="61"/>
      <c r="AG924" s="61"/>
      <c r="AH924" s="61"/>
      <c r="AI924" s="61"/>
      <c r="AJ924" s="61"/>
      <c r="AK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2"/>
      <c r="W925" s="61"/>
      <c r="X925" s="61"/>
      <c r="Y925" s="61"/>
      <c r="Z925" s="61"/>
      <c r="AA925" s="61"/>
      <c r="AB925" s="61"/>
      <c r="AC925" s="61"/>
      <c r="AD925" s="61"/>
      <c r="AE925" s="61"/>
      <c r="AF925" s="61"/>
      <c r="AG925" s="61"/>
      <c r="AH925" s="61"/>
      <c r="AI925" s="61"/>
      <c r="AJ925" s="61"/>
      <c r="AK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2"/>
      <c r="W926" s="61"/>
      <c r="X926" s="61"/>
      <c r="Y926" s="61"/>
      <c r="Z926" s="61"/>
      <c r="AA926" s="61"/>
      <c r="AB926" s="61"/>
      <c r="AC926" s="61"/>
      <c r="AD926" s="61"/>
      <c r="AE926" s="61"/>
      <c r="AF926" s="61"/>
      <c r="AG926" s="61"/>
      <c r="AH926" s="61"/>
      <c r="AI926" s="61"/>
      <c r="AJ926" s="61"/>
      <c r="AK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2"/>
      <c r="W927" s="61"/>
      <c r="X927" s="61"/>
      <c r="Y927" s="61"/>
      <c r="Z927" s="61"/>
      <c r="AA927" s="61"/>
      <c r="AB927" s="61"/>
      <c r="AC927" s="61"/>
      <c r="AD927" s="61"/>
      <c r="AE927" s="61"/>
      <c r="AF927" s="61"/>
      <c r="AG927" s="61"/>
      <c r="AH927" s="61"/>
      <c r="AI927" s="61"/>
      <c r="AJ927" s="61"/>
      <c r="AK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2"/>
      <c r="W928" s="61"/>
      <c r="X928" s="61"/>
      <c r="Y928" s="61"/>
      <c r="Z928" s="61"/>
      <c r="AA928" s="61"/>
      <c r="AB928" s="61"/>
      <c r="AC928" s="61"/>
      <c r="AD928" s="61"/>
      <c r="AE928" s="61"/>
      <c r="AF928" s="61"/>
      <c r="AG928" s="61"/>
      <c r="AH928" s="61"/>
      <c r="AI928" s="61"/>
      <c r="AJ928" s="61"/>
      <c r="AK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2"/>
      <c r="W929" s="61"/>
      <c r="X929" s="61"/>
      <c r="Y929" s="61"/>
      <c r="Z929" s="61"/>
      <c r="AA929" s="61"/>
      <c r="AB929" s="61"/>
      <c r="AC929" s="61"/>
      <c r="AD929" s="61"/>
      <c r="AE929" s="61"/>
      <c r="AF929" s="61"/>
      <c r="AG929" s="61"/>
      <c r="AH929" s="61"/>
      <c r="AI929" s="61"/>
      <c r="AJ929" s="61"/>
      <c r="AK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2"/>
      <c r="W930" s="61"/>
      <c r="X930" s="61"/>
      <c r="Y930" s="61"/>
      <c r="Z930" s="61"/>
      <c r="AA930" s="61"/>
      <c r="AB930" s="61"/>
      <c r="AC930" s="61"/>
      <c r="AD930" s="61"/>
      <c r="AE930" s="61"/>
      <c r="AF930" s="61"/>
      <c r="AG930" s="61"/>
      <c r="AH930" s="61"/>
      <c r="AI930" s="61"/>
      <c r="AJ930" s="61"/>
      <c r="AK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2"/>
      <c r="W931" s="61"/>
      <c r="X931" s="61"/>
      <c r="Y931" s="61"/>
      <c r="Z931" s="61"/>
      <c r="AA931" s="61"/>
      <c r="AB931" s="61"/>
      <c r="AC931" s="61"/>
      <c r="AD931" s="61"/>
      <c r="AE931" s="61"/>
      <c r="AF931" s="61"/>
      <c r="AG931" s="61"/>
      <c r="AH931" s="61"/>
      <c r="AI931" s="61"/>
      <c r="AJ931" s="61"/>
      <c r="AK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2"/>
      <c r="W932" s="61"/>
      <c r="X932" s="61"/>
      <c r="Y932" s="61"/>
      <c r="Z932" s="61"/>
      <c r="AA932" s="61"/>
      <c r="AB932" s="61"/>
      <c r="AC932" s="61"/>
      <c r="AD932" s="61"/>
      <c r="AE932" s="61"/>
      <c r="AF932" s="61"/>
      <c r="AG932" s="61"/>
      <c r="AH932" s="61"/>
      <c r="AI932" s="61"/>
      <c r="AJ932" s="61"/>
      <c r="AK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2"/>
      <c r="W933" s="61"/>
      <c r="X933" s="61"/>
      <c r="Y933" s="61"/>
      <c r="Z933" s="61"/>
      <c r="AA933" s="61"/>
      <c r="AB933" s="61"/>
      <c r="AC933" s="61"/>
      <c r="AD933" s="61"/>
      <c r="AE933" s="61"/>
      <c r="AF933" s="61"/>
      <c r="AG933" s="61"/>
      <c r="AH933" s="61"/>
      <c r="AI933" s="61"/>
      <c r="AJ933" s="61"/>
      <c r="AK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2"/>
      <c r="W934" s="61"/>
      <c r="X934" s="61"/>
      <c r="Y934" s="61"/>
      <c r="Z934" s="61"/>
      <c r="AA934" s="61"/>
      <c r="AB934" s="61"/>
      <c r="AC934" s="61"/>
      <c r="AD934" s="61"/>
      <c r="AE934" s="61"/>
      <c r="AF934" s="61"/>
      <c r="AG934" s="61"/>
      <c r="AH934" s="61"/>
      <c r="AI934" s="61"/>
      <c r="AJ934" s="61"/>
      <c r="AK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2"/>
      <c r="W935" s="61"/>
      <c r="X935" s="61"/>
      <c r="Y935" s="61"/>
      <c r="Z935" s="61"/>
      <c r="AA935" s="61"/>
      <c r="AB935" s="61"/>
      <c r="AC935" s="61"/>
      <c r="AD935" s="61"/>
      <c r="AE935" s="61"/>
      <c r="AF935" s="61"/>
      <c r="AG935" s="61"/>
      <c r="AH935" s="61"/>
      <c r="AI935" s="61"/>
      <c r="AJ935" s="61"/>
      <c r="AK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2"/>
      <c r="W936" s="61"/>
      <c r="X936" s="61"/>
      <c r="Y936" s="61"/>
      <c r="Z936" s="61"/>
      <c r="AA936" s="61"/>
      <c r="AB936" s="61"/>
      <c r="AC936" s="61"/>
      <c r="AD936" s="61"/>
      <c r="AE936" s="61"/>
      <c r="AF936" s="61"/>
      <c r="AG936" s="61"/>
      <c r="AH936" s="61"/>
      <c r="AI936" s="61"/>
      <c r="AJ936" s="61"/>
      <c r="AK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2"/>
      <c r="W937" s="61"/>
      <c r="X937" s="61"/>
      <c r="Y937" s="61"/>
      <c r="Z937" s="61"/>
      <c r="AA937" s="61"/>
      <c r="AB937" s="61"/>
      <c r="AC937" s="61"/>
      <c r="AD937" s="61"/>
      <c r="AE937" s="61"/>
      <c r="AF937" s="61"/>
      <c r="AG937" s="61"/>
      <c r="AH937" s="61"/>
      <c r="AI937" s="61"/>
      <c r="AJ937" s="61"/>
      <c r="AK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2"/>
      <c r="W938" s="61"/>
      <c r="X938" s="61"/>
      <c r="Y938" s="61"/>
      <c r="Z938" s="61"/>
      <c r="AA938" s="61"/>
      <c r="AB938" s="61"/>
      <c r="AC938" s="61"/>
      <c r="AD938" s="61"/>
      <c r="AE938" s="61"/>
      <c r="AF938" s="61"/>
      <c r="AG938" s="61"/>
      <c r="AH938" s="61"/>
      <c r="AI938" s="61"/>
      <c r="AJ938" s="61"/>
      <c r="AK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2"/>
      <c r="W939" s="61"/>
      <c r="X939" s="61"/>
      <c r="Y939" s="61"/>
      <c r="Z939" s="61"/>
      <c r="AA939" s="61"/>
      <c r="AB939" s="61"/>
      <c r="AC939" s="61"/>
      <c r="AD939" s="61"/>
      <c r="AE939" s="61"/>
      <c r="AF939" s="61"/>
      <c r="AG939" s="61"/>
      <c r="AH939" s="61"/>
      <c r="AI939" s="61"/>
      <c r="AJ939" s="61"/>
      <c r="AK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2"/>
      <c r="W940" s="61"/>
      <c r="X940" s="61"/>
      <c r="Y940" s="61"/>
      <c r="Z940" s="61"/>
      <c r="AA940" s="61"/>
      <c r="AB940" s="61"/>
      <c r="AC940" s="61"/>
      <c r="AD940" s="61"/>
      <c r="AE940" s="61"/>
      <c r="AF940" s="61"/>
      <c r="AG940" s="61"/>
      <c r="AH940" s="61"/>
      <c r="AI940" s="61"/>
      <c r="AJ940" s="61"/>
      <c r="AK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2"/>
      <c r="W941" s="61"/>
      <c r="X941" s="61"/>
      <c r="Y941" s="61"/>
      <c r="Z941" s="61"/>
      <c r="AA941" s="61"/>
      <c r="AB941" s="61"/>
      <c r="AC941" s="61"/>
      <c r="AD941" s="61"/>
      <c r="AE941" s="61"/>
      <c r="AF941" s="61"/>
      <c r="AG941" s="61"/>
      <c r="AH941" s="61"/>
      <c r="AI941" s="61"/>
      <c r="AJ941" s="61"/>
      <c r="AK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2"/>
      <c r="W942" s="61"/>
      <c r="X942" s="61"/>
      <c r="Y942" s="61"/>
      <c r="Z942" s="61"/>
      <c r="AA942" s="61"/>
      <c r="AB942" s="61"/>
      <c r="AC942" s="61"/>
      <c r="AD942" s="61"/>
      <c r="AE942" s="61"/>
      <c r="AF942" s="61"/>
      <c r="AG942" s="61"/>
      <c r="AH942" s="61"/>
      <c r="AI942" s="61"/>
      <c r="AJ942" s="61"/>
      <c r="AK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2"/>
      <c r="W943" s="61"/>
      <c r="X943" s="61"/>
      <c r="Y943" s="61"/>
      <c r="Z943" s="61"/>
      <c r="AA943" s="61"/>
      <c r="AB943" s="61"/>
      <c r="AC943" s="61"/>
      <c r="AD943" s="61"/>
      <c r="AE943" s="61"/>
      <c r="AF943" s="61"/>
      <c r="AG943" s="61"/>
      <c r="AH943" s="61"/>
      <c r="AI943" s="61"/>
      <c r="AJ943" s="61"/>
      <c r="AK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2"/>
      <c r="W944" s="61"/>
      <c r="X944" s="61"/>
      <c r="Y944" s="61"/>
      <c r="Z944" s="61"/>
      <c r="AA944" s="61"/>
      <c r="AB944" s="61"/>
      <c r="AC944" s="61"/>
      <c r="AD944" s="61"/>
      <c r="AE944" s="61"/>
      <c r="AF944" s="61"/>
      <c r="AG944" s="61"/>
      <c r="AH944" s="61"/>
      <c r="AI944" s="61"/>
      <c r="AJ944" s="61"/>
      <c r="AK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2"/>
      <c r="W945" s="61"/>
      <c r="X945" s="61"/>
      <c r="Y945" s="61"/>
      <c r="Z945" s="61"/>
      <c r="AA945" s="61"/>
      <c r="AB945" s="61"/>
      <c r="AC945" s="61"/>
      <c r="AD945" s="61"/>
      <c r="AE945" s="61"/>
      <c r="AF945" s="61"/>
      <c r="AG945" s="61"/>
      <c r="AH945" s="61"/>
      <c r="AI945" s="61"/>
      <c r="AJ945" s="61"/>
      <c r="AK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2"/>
      <c r="W946" s="61"/>
      <c r="X946" s="61"/>
      <c r="Y946" s="61"/>
      <c r="Z946" s="61"/>
      <c r="AA946" s="61"/>
      <c r="AB946" s="61"/>
      <c r="AC946" s="61"/>
      <c r="AD946" s="61"/>
      <c r="AE946" s="61"/>
      <c r="AF946" s="61"/>
      <c r="AG946" s="61"/>
      <c r="AH946" s="61"/>
      <c r="AI946" s="61"/>
      <c r="AJ946" s="61"/>
      <c r="AK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2"/>
      <c r="W947" s="61"/>
      <c r="X947" s="61"/>
      <c r="Y947" s="61"/>
      <c r="Z947" s="61"/>
      <c r="AA947" s="61"/>
      <c r="AB947" s="61"/>
      <c r="AC947" s="61"/>
      <c r="AD947" s="61"/>
      <c r="AE947" s="61"/>
      <c r="AF947" s="61"/>
      <c r="AG947" s="61"/>
      <c r="AH947" s="61"/>
      <c r="AI947" s="61"/>
      <c r="AJ947" s="61"/>
      <c r="AK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2"/>
      <c r="W948" s="61"/>
      <c r="X948" s="61"/>
      <c r="Y948" s="61"/>
      <c r="Z948" s="61"/>
      <c r="AA948" s="61"/>
      <c r="AB948" s="61"/>
      <c r="AC948" s="61"/>
      <c r="AD948" s="61"/>
      <c r="AE948" s="61"/>
      <c r="AF948" s="61"/>
      <c r="AG948" s="61"/>
      <c r="AH948" s="61"/>
      <c r="AI948" s="61"/>
      <c r="AJ948" s="61"/>
      <c r="AK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2"/>
      <c r="W949" s="61"/>
      <c r="X949" s="61"/>
      <c r="Y949" s="61"/>
      <c r="Z949" s="61"/>
      <c r="AA949" s="61"/>
      <c r="AB949" s="61"/>
      <c r="AC949" s="61"/>
      <c r="AD949" s="61"/>
      <c r="AE949" s="61"/>
      <c r="AF949" s="61"/>
      <c r="AG949" s="61"/>
      <c r="AH949" s="61"/>
      <c r="AI949" s="61"/>
      <c r="AJ949" s="61"/>
      <c r="AK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2"/>
      <c r="W950" s="61"/>
      <c r="X950" s="61"/>
      <c r="Y950" s="61"/>
      <c r="Z950" s="61"/>
      <c r="AA950" s="61"/>
      <c r="AB950" s="61"/>
      <c r="AC950" s="61"/>
      <c r="AD950" s="61"/>
      <c r="AE950" s="61"/>
      <c r="AF950" s="61"/>
      <c r="AG950" s="61"/>
      <c r="AH950" s="61"/>
      <c r="AI950" s="61"/>
      <c r="AJ950" s="61"/>
      <c r="AK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2"/>
      <c r="W951" s="61"/>
      <c r="X951" s="61"/>
      <c r="Y951" s="61"/>
      <c r="Z951" s="61"/>
      <c r="AA951" s="61"/>
      <c r="AB951" s="61"/>
      <c r="AC951" s="61"/>
      <c r="AD951" s="61"/>
      <c r="AE951" s="61"/>
      <c r="AF951" s="61"/>
      <c r="AG951" s="61"/>
      <c r="AH951" s="61"/>
      <c r="AI951" s="61"/>
      <c r="AJ951" s="61"/>
      <c r="AK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2"/>
      <c r="W952" s="61"/>
      <c r="X952" s="61"/>
      <c r="Y952" s="61"/>
      <c r="Z952" s="61"/>
      <c r="AA952" s="61"/>
      <c r="AB952" s="61"/>
      <c r="AC952" s="61"/>
      <c r="AD952" s="61"/>
      <c r="AE952" s="61"/>
      <c r="AF952" s="61"/>
      <c r="AG952" s="61"/>
      <c r="AH952" s="61"/>
      <c r="AI952" s="61"/>
      <c r="AJ952" s="61"/>
      <c r="AK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2"/>
      <c r="W953" s="61"/>
      <c r="X953" s="61"/>
      <c r="Y953" s="61"/>
      <c r="Z953" s="61"/>
      <c r="AA953" s="61"/>
      <c r="AB953" s="61"/>
      <c r="AC953" s="61"/>
      <c r="AD953" s="61"/>
      <c r="AE953" s="61"/>
      <c r="AF953" s="61"/>
      <c r="AG953" s="61"/>
      <c r="AH953" s="61"/>
      <c r="AI953" s="61"/>
      <c r="AJ953" s="61"/>
      <c r="AK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2"/>
      <c r="W954" s="61"/>
      <c r="X954" s="61"/>
      <c r="Y954" s="61"/>
      <c r="Z954" s="61"/>
      <c r="AA954" s="61"/>
      <c r="AB954" s="61"/>
      <c r="AC954" s="61"/>
      <c r="AD954" s="61"/>
      <c r="AE954" s="61"/>
      <c r="AF954" s="61"/>
      <c r="AG954" s="61"/>
      <c r="AH954" s="61"/>
      <c r="AI954" s="61"/>
      <c r="AJ954" s="61"/>
      <c r="AK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2"/>
      <c r="W955" s="61"/>
      <c r="X955" s="61"/>
      <c r="Y955" s="61"/>
      <c r="Z955" s="61"/>
      <c r="AA955" s="61"/>
      <c r="AB955" s="61"/>
      <c r="AC955" s="61"/>
      <c r="AD955" s="61"/>
      <c r="AE955" s="61"/>
      <c r="AF955" s="61"/>
      <c r="AG955" s="61"/>
      <c r="AH955" s="61"/>
      <c r="AI955" s="61"/>
      <c r="AJ955" s="61"/>
      <c r="AK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2"/>
      <c r="W956" s="61"/>
      <c r="X956" s="61"/>
      <c r="Y956" s="61"/>
      <c r="Z956" s="61"/>
      <c r="AA956" s="61"/>
      <c r="AB956" s="61"/>
      <c r="AC956" s="61"/>
      <c r="AD956" s="61"/>
      <c r="AE956" s="61"/>
      <c r="AF956" s="61"/>
      <c r="AG956" s="61"/>
      <c r="AH956" s="61"/>
      <c r="AI956" s="61"/>
      <c r="AJ956" s="61"/>
      <c r="AK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2"/>
      <c r="W957" s="61"/>
      <c r="X957" s="61"/>
      <c r="Y957" s="61"/>
      <c r="Z957" s="61"/>
      <c r="AA957" s="61"/>
      <c r="AB957" s="61"/>
      <c r="AC957" s="61"/>
      <c r="AD957" s="61"/>
      <c r="AE957" s="61"/>
      <c r="AF957" s="61"/>
      <c r="AG957" s="61"/>
      <c r="AH957" s="61"/>
      <c r="AI957" s="61"/>
      <c r="AJ957" s="61"/>
      <c r="AK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2"/>
      <c r="W958" s="61"/>
      <c r="X958" s="61"/>
      <c r="Y958" s="61"/>
      <c r="Z958" s="61"/>
      <c r="AA958" s="61"/>
      <c r="AB958" s="61"/>
      <c r="AC958" s="61"/>
      <c r="AD958" s="61"/>
      <c r="AE958" s="61"/>
      <c r="AF958" s="61"/>
      <c r="AG958" s="61"/>
      <c r="AH958" s="61"/>
      <c r="AI958" s="61"/>
      <c r="AJ958" s="61"/>
      <c r="AK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2"/>
      <c r="W959" s="61"/>
      <c r="X959" s="61"/>
      <c r="Y959" s="61"/>
      <c r="Z959" s="61"/>
      <c r="AA959" s="61"/>
      <c r="AB959" s="61"/>
      <c r="AC959" s="61"/>
      <c r="AD959" s="61"/>
      <c r="AE959" s="61"/>
      <c r="AF959" s="61"/>
      <c r="AG959" s="61"/>
      <c r="AH959" s="61"/>
      <c r="AI959" s="61"/>
      <c r="AJ959" s="61"/>
      <c r="AK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2"/>
      <c r="W960" s="61"/>
      <c r="X960" s="61"/>
      <c r="Y960" s="61"/>
      <c r="Z960" s="61"/>
      <c r="AA960" s="61"/>
      <c r="AB960" s="61"/>
      <c r="AC960" s="61"/>
      <c r="AD960" s="61"/>
      <c r="AE960" s="61"/>
      <c r="AF960" s="61"/>
      <c r="AG960" s="61"/>
      <c r="AH960" s="61"/>
      <c r="AI960" s="61"/>
      <c r="AJ960" s="61"/>
      <c r="AK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2"/>
      <c r="W961" s="61"/>
      <c r="X961" s="61"/>
      <c r="Y961" s="61"/>
      <c r="Z961" s="61"/>
      <c r="AA961" s="61"/>
      <c r="AB961" s="61"/>
      <c r="AC961" s="61"/>
      <c r="AD961" s="61"/>
      <c r="AE961" s="61"/>
      <c r="AF961" s="61"/>
      <c r="AG961" s="61"/>
      <c r="AH961" s="61"/>
      <c r="AI961" s="61"/>
      <c r="AJ961" s="61"/>
      <c r="AK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2"/>
      <c r="W962" s="61"/>
      <c r="X962" s="61"/>
      <c r="Y962" s="61"/>
      <c r="Z962" s="61"/>
      <c r="AA962" s="61"/>
      <c r="AB962" s="61"/>
      <c r="AC962" s="61"/>
      <c r="AD962" s="61"/>
      <c r="AE962" s="61"/>
      <c r="AF962" s="61"/>
      <c r="AG962" s="61"/>
      <c r="AH962" s="61"/>
      <c r="AI962" s="61"/>
      <c r="AJ962" s="61"/>
      <c r="AK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2"/>
      <c r="W963" s="61"/>
      <c r="X963" s="61"/>
      <c r="Y963" s="61"/>
      <c r="Z963" s="61"/>
      <c r="AA963" s="61"/>
      <c r="AB963" s="61"/>
      <c r="AC963" s="61"/>
      <c r="AD963" s="61"/>
      <c r="AE963" s="61"/>
      <c r="AF963" s="61"/>
      <c r="AG963" s="61"/>
      <c r="AH963" s="61"/>
      <c r="AI963" s="61"/>
      <c r="AJ963" s="61"/>
      <c r="AK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2"/>
      <c r="W964" s="61"/>
      <c r="X964" s="61"/>
      <c r="Y964" s="61"/>
      <c r="Z964" s="61"/>
      <c r="AA964" s="61"/>
      <c r="AB964" s="61"/>
      <c r="AC964" s="61"/>
      <c r="AD964" s="61"/>
      <c r="AE964" s="61"/>
      <c r="AF964" s="61"/>
      <c r="AG964" s="61"/>
      <c r="AH964" s="61"/>
      <c r="AI964" s="61"/>
      <c r="AJ964" s="61"/>
      <c r="AK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2"/>
      <c r="W965" s="61"/>
      <c r="X965" s="61"/>
      <c r="Y965" s="61"/>
      <c r="Z965" s="61"/>
      <c r="AA965" s="61"/>
      <c r="AB965" s="61"/>
      <c r="AC965" s="61"/>
      <c r="AD965" s="61"/>
      <c r="AE965" s="61"/>
      <c r="AF965" s="61"/>
      <c r="AG965" s="61"/>
      <c r="AH965" s="61"/>
      <c r="AI965" s="61"/>
      <c r="AJ965" s="61"/>
      <c r="AK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2"/>
      <c r="W966" s="61"/>
      <c r="X966" s="61"/>
      <c r="Y966" s="61"/>
      <c r="Z966" s="61"/>
      <c r="AA966" s="61"/>
      <c r="AB966" s="61"/>
      <c r="AC966" s="61"/>
      <c r="AD966" s="61"/>
      <c r="AE966" s="61"/>
      <c r="AF966" s="61"/>
      <c r="AG966" s="61"/>
      <c r="AH966" s="61"/>
      <c r="AI966" s="61"/>
      <c r="AJ966" s="61"/>
      <c r="AK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2"/>
      <c r="W967" s="61"/>
      <c r="X967" s="61"/>
      <c r="Y967" s="61"/>
      <c r="Z967" s="61"/>
      <c r="AA967" s="61"/>
      <c r="AB967" s="61"/>
      <c r="AC967" s="61"/>
      <c r="AD967" s="61"/>
      <c r="AE967" s="61"/>
      <c r="AF967" s="61"/>
      <c r="AG967" s="61"/>
      <c r="AH967" s="61"/>
      <c r="AI967" s="61"/>
      <c r="AJ967" s="61"/>
      <c r="AK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2"/>
      <c r="W968" s="61"/>
      <c r="X968" s="61"/>
      <c r="Y968" s="61"/>
      <c r="Z968" s="61"/>
      <c r="AA968" s="61"/>
      <c r="AB968" s="61"/>
      <c r="AC968" s="61"/>
      <c r="AD968" s="61"/>
      <c r="AE968" s="61"/>
      <c r="AF968" s="61"/>
      <c r="AG968" s="61"/>
      <c r="AH968" s="61"/>
      <c r="AI968" s="61"/>
      <c r="AJ968" s="61"/>
      <c r="AK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2"/>
      <c r="W969" s="61"/>
      <c r="X969" s="61"/>
      <c r="Y969" s="61"/>
      <c r="Z969" s="61"/>
      <c r="AA969" s="61"/>
      <c r="AB969" s="61"/>
      <c r="AC969" s="61"/>
      <c r="AD969" s="61"/>
      <c r="AE969" s="61"/>
      <c r="AF969" s="61"/>
      <c r="AG969" s="61"/>
      <c r="AH969" s="61"/>
      <c r="AI969" s="61"/>
      <c r="AJ969" s="61"/>
      <c r="AK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2"/>
      <c r="W970" s="61"/>
      <c r="X970" s="61"/>
      <c r="Y970" s="61"/>
      <c r="Z970" s="61"/>
      <c r="AA970" s="61"/>
      <c r="AB970" s="61"/>
      <c r="AC970" s="61"/>
      <c r="AD970" s="61"/>
      <c r="AE970" s="61"/>
      <c r="AF970" s="61"/>
      <c r="AG970" s="61"/>
      <c r="AH970" s="61"/>
      <c r="AI970" s="61"/>
      <c r="AJ970" s="61"/>
      <c r="AK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2"/>
      <c r="W971" s="61"/>
      <c r="X971" s="61"/>
      <c r="Y971" s="61"/>
      <c r="Z971" s="61"/>
      <c r="AA971" s="61"/>
      <c r="AB971" s="61"/>
      <c r="AC971" s="61"/>
      <c r="AD971" s="61"/>
      <c r="AE971" s="61"/>
      <c r="AF971" s="61"/>
      <c r="AG971" s="61"/>
      <c r="AH971" s="61"/>
      <c r="AI971" s="61"/>
      <c r="AJ971" s="61"/>
      <c r="AK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2"/>
      <c r="W972" s="61"/>
      <c r="X972" s="61"/>
      <c r="Y972" s="61"/>
      <c r="Z972" s="61"/>
      <c r="AA972" s="61"/>
      <c r="AB972" s="61"/>
      <c r="AC972" s="61"/>
      <c r="AD972" s="61"/>
      <c r="AE972" s="61"/>
      <c r="AF972" s="61"/>
      <c r="AG972" s="61"/>
      <c r="AH972" s="61"/>
      <c r="AI972" s="61"/>
      <c r="AJ972" s="61"/>
      <c r="AK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2"/>
      <c r="W973" s="61"/>
      <c r="X973" s="61"/>
      <c r="Y973" s="61"/>
      <c r="Z973" s="61"/>
      <c r="AA973" s="61"/>
      <c r="AB973" s="61"/>
      <c r="AC973" s="61"/>
      <c r="AD973" s="61"/>
      <c r="AE973" s="61"/>
      <c r="AF973" s="61"/>
      <c r="AG973" s="61"/>
      <c r="AH973" s="61"/>
      <c r="AI973" s="61"/>
      <c r="AJ973" s="61"/>
      <c r="AK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2"/>
      <c r="W974" s="61"/>
      <c r="X974" s="61"/>
      <c r="Y974" s="61"/>
      <c r="Z974" s="61"/>
      <c r="AA974" s="61"/>
      <c r="AB974" s="61"/>
      <c r="AC974" s="61"/>
      <c r="AD974" s="61"/>
      <c r="AE974" s="61"/>
      <c r="AF974" s="61"/>
      <c r="AG974" s="61"/>
      <c r="AH974" s="61"/>
      <c r="AI974" s="61"/>
      <c r="AJ974" s="61"/>
      <c r="AK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2"/>
      <c r="W975" s="61"/>
      <c r="X975" s="61"/>
      <c r="Y975" s="61"/>
      <c r="Z975" s="61"/>
      <c r="AA975" s="61"/>
      <c r="AB975" s="61"/>
      <c r="AC975" s="61"/>
      <c r="AD975" s="61"/>
      <c r="AE975" s="61"/>
      <c r="AF975" s="61"/>
      <c r="AG975" s="61"/>
      <c r="AH975" s="61"/>
      <c r="AI975" s="61"/>
      <c r="AJ975" s="61"/>
      <c r="AK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2"/>
      <c r="W976" s="61"/>
      <c r="X976" s="61"/>
      <c r="Y976" s="61"/>
      <c r="Z976" s="61"/>
      <c r="AA976" s="61"/>
      <c r="AB976" s="61"/>
      <c r="AC976" s="61"/>
      <c r="AD976" s="61"/>
      <c r="AE976" s="61"/>
      <c r="AF976" s="61"/>
      <c r="AG976" s="61"/>
      <c r="AH976" s="61"/>
      <c r="AI976" s="61"/>
      <c r="AJ976" s="61"/>
      <c r="AK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2"/>
      <c r="W977" s="61"/>
      <c r="X977" s="61"/>
      <c r="Y977" s="61"/>
      <c r="Z977" s="61"/>
      <c r="AA977" s="61"/>
      <c r="AB977" s="61"/>
      <c r="AC977" s="61"/>
      <c r="AD977" s="61"/>
      <c r="AE977" s="61"/>
      <c r="AF977" s="61"/>
      <c r="AG977" s="61"/>
      <c r="AH977" s="61"/>
      <c r="AI977" s="61"/>
      <c r="AJ977" s="61"/>
      <c r="AK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2"/>
      <c r="W978" s="61"/>
      <c r="X978" s="61"/>
      <c r="Y978" s="61"/>
      <c r="Z978" s="61"/>
      <c r="AA978" s="61"/>
      <c r="AB978" s="61"/>
      <c r="AC978" s="61"/>
      <c r="AD978" s="61"/>
      <c r="AE978" s="61"/>
      <c r="AF978" s="61"/>
      <c r="AG978" s="61"/>
      <c r="AH978" s="61"/>
      <c r="AI978" s="61"/>
      <c r="AJ978" s="61"/>
      <c r="AK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2"/>
      <c r="W979" s="61"/>
      <c r="X979" s="61"/>
      <c r="Y979" s="61"/>
      <c r="Z979" s="61"/>
      <c r="AA979" s="61"/>
      <c r="AB979" s="61"/>
      <c r="AC979" s="61"/>
      <c r="AD979" s="61"/>
      <c r="AE979" s="61"/>
      <c r="AF979" s="61"/>
      <c r="AG979" s="61"/>
      <c r="AH979" s="61"/>
      <c r="AI979" s="61"/>
      <c r="AJ979" s="61"/>
      <c r="AK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2"/>
      <c r="W980" s="61"/>
      <c r="X980" s="61"/>
      <c r="Y980" s="61"/>
      <c r="Z980" s="61"/>
      <c r="AA980" s="61"/>
      <c r="AB980" s="61"/>
      <c r="AC980" s="61"/>
      <c r="AD980" s="61"/>
      <c r="AE980" s="61"/>
      <c r="AF980" s="61"/>
      <c r="AG980" s="61"/>
      <c r="AH980" s="61"/>
      <c r="AI980" s="61"/>
      <c r="AJ980" s="61"/>
      <c r="AK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2"/>
      <c r="W981" s="61"/>
      <c r="X981" s="61"/>
      <c r="Y981" s="61"/>
      <c r="Z981" s="61"/>
      <c r="AA981" s="61"/>
      <c r="AB981" s="61"/>
      <c r="AC981" s="61"/>
      <c r="AD981" s="61"/>
      <c r="AE981" s="61"/>
      <c r="AF981" s="61"/>
      <c r="AG981" s="61"/>
      <c r="AH981" s="61"/>
      <c r="AI981" s="61"/>
      <c r="AJ981" s="61"/>
      <c r="AK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2"/>
      <c r="W982" s="61"/>
      <c r="X982" s="61"/>
      <c r="Y982" s="61"/>
      <c r="Z982" s="61"/>
      <c r="AA982" s="61"/>
      <c r="AB982" s="61"/>
      <c r="AC982" s="61"/>
      <c r="AD982" s="61"/>
      <c r="AE982" s="61"/>
      <c r="AF982" s="61"/>
      <c r="AG982" s="61"/>
      <c r="AH982" s="61"/>
      <c r="AI982" s="61"/>
      <c r="AJ982" s="61"/>
      <c r="AK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2"/>
      <c r="W983" s="61"/>
      <c r="X983" s="61"/>
      <c r="Y983" s="61"/>
      <c r="Z983" s="61"/>
      <c r="AA983" s="61"/>
      <c r="AB983" s="61"/>
      <c r="AC983" s="61"/>
      <c r="AD983" s="61"/>
      <c r="AE983" s="61"/>
      <c r="AF983" s="61"/>
      <c r="AG983" s="61"/>
      <c r="AH983" s="61"/>
      <c r="AI983" s="61"/>
      <c r="AJ983" s="61"/>
      <c r="AK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2"/>
      <c r="W984" s="61"/>
      <c r="X984" s="61"/>
      <c r="Y984" s="61"/>
      <c r="Z984" s="61"/>
      <c r="AA984" s="61"/>
      <c r="AB984" s="61"/>
      <c r="AC984" s="61"/>
      <c r="AD984" s="61"/>
      <c r="AE984" s="61"/>
      <c r="AF984" s="61"/>
      <c r="AG984" s="61"/>
      <c r="AH984" s="61"/>
      <c r="AI984" s="61"/>
      <c r="AJ984" s="61"/>
      <c r="AK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2"/>
      <c r="W985" s="61"/>
      <c r="X985" s="61"/>
      <c r="Y985" s="61"/>
      <c r="Z985" s="61"/>
      <c r="AA985" s="61"/>
      <c r="AB985" s="61"/>
      <c r="AC985" s="61"/>
      <c r="AD985" s="61"/>
      <c r="AE985" s="61"/>
      <c r="AF985" s="61"/>
      <c r="AG985" s="61"/>
      <c r="AH985" s="61"/>
      <c r="AI985" s="61"/>
      <c r="AJ985" s="61"/>
      <c r="AK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2"/>
      <c r="W986" s="61"/>
      <c r="X986" s="61"/>
      <c r="Y986" s="61"/>
      <c r="Z986" s="61"/>
      <c r="AA986" s="61"/>
      <c r="AB986" s="61"/>
      <c r="AC986" s="61"/>
      <c r="AD986" s="61"/>
      <c r="AE986" s="61"/>
      <c r="AF986" s="61"/>
      <c r="AG986" s="61"/>
      <c r="AH986" s="61"/>
      <c r="AI986" s="61"/>
      <c r="AJ986" s="61"/>
      <c r="AK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2"/>
      <c r="W987" s="61"/>
      <c r="X987" s="61"/>
      <c r="Y987" s="61"/>
      <c r="Z987" s="61"/>
      <c r="AA987" s="61"/>
      <c r="AB987" s="61"/>
      <c r="AC987" s="61"/>
      <c r="AD987" s="61"/>
      <c r="AE987" s="61"/>
      <c r="AF987" s="61"/>
      <c r="AG987" s="61"/>
      <c r="AH987" s="61"/>
      <c r="AI987" s="61"/>
      <c r="AJ987" s="61"/>
      <c r="AK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2"/>
      <c r="W988" s="61"/>
      <c r="X988" s="61"/>
      <c r="Y988" s="61"/>
      <c r="Z988" s="61"/>
      <c r="AA988" s="61"/>
      <c r="AB988" s="61"/>
      <c r="AC988" s="61"/>
      <c r="AD988" s="61"/>
      <c r="AE988" s="61"/>
      <c r="AF988" s="61"/>
      <c r="AG988" s="61"/>
      <c r="AH988" s="61"/>
      <c r="AI988" s="61"/>
      <c r="AJ988" s="61"/>
      <c r="AK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2"/>
      <c r="W989" s="61"/>
      <c r="X989" s="61"/>
      <c r="Y989" s="61"/>
      <c r="Z989" s="61"/>
      <c r="AA989" s="61"/>
      <c r="AB989" s="61"/>
      <c r="AC989" s="61"/>
      <c r="AD989" s="61"/>
      <c r="AE989" s="61"/>
      <c r="AF989" s="61"/>
      <c r="AG989" s="61"/>
      <c r="AH989" s="61"/>
      <c r="AI989" s="61"/>
      <c r="AJ989" s="61"/>
      <c r="AK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2"/>
      <c r="W990" s="61"/>
      <c r="X990" s="61"/>
      <c r="Y990" s="61"/>
      <c r="Z990" s="61"/>
      <c r="AA990" s="61"/>
      <c r="AB990" s="61"/>
      <c r="AC990" s="61"/>
      <c r="AD990" s="61"/>
      <c r="AE990" s="61"/>
      <c r="AF990" s="61"/>
      <c r="AG990" s="61"/>
      <c r="AH990" s="61"/>
      <c r="AI990" s="61"/>
      <c r="AJ990" s="61"/>
      <c r="AK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2"/>
      <c r="W991" s="61"/>
      <c r="X991" s="61"/>
      <c r="Y991" s="61"/>
      <c r="Z991" s="61"/>
      <c r="AA991" s="61"/>
      <c r="AB991" s="61"/>
      <c r="AC991" s="61"/>
      <c r="AD991" s="61"/>
      <c r="AE991" s="61"/>
      <c r="AF991" s="61"/>
      <c r="AG991" s="61"/>
      <c r="AH991" s="61"/>
      <c r="AI991" s="61"/>
      <c r="AJ991" s="61"/>
      <c r="AK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2"/>
      <c r="W992" s="61"/>
      <c r="X992" s="61"/>
      <c r="Y992" s="61"/>
      <c r="Z992" s="61"/>
      <c r="AA992" s="61"/>
      <c r="AB992" s="61"/>
      <c r="AC992" s="61"/>
      <c r="AD992" s="61"/>
      <c r="AE992" s="61"/>
      <c r="AF992" s="61"/>
      <c r="AG992" s="61"/>
      <c r="AH992" s="61"/>
      <c r="AI992" s="61"/>
      <c r="AJ992" s="61"/>
      <c r="AK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2"/>
      <c r="W993" s="61"/>
      <c r="X993" s="61"/>
      <c r="Y993" s="61"/>
      <c r="Z993" s="61"/>
      <c r="AA993" s="61"/>
      <c r="AB993" s="61"/>
      <c r="AC993" s="61"/>
      <c r="AD993" s="61"/>
      <c r="AE993" s="61"/>
      <c r="AF993" s="61"/>
      <c r="AG993" s="61"/>
      <c r="AH993" s="61"/>
      <c r="AI993" s="61"/>
      <c r="AJ993" s="61"/>
      <c r="AK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2"/>
      <c r="W994" s="61"/>
      <c r="X994" s="61"/>
      <c r="Y994" s="61"/>
      <c r="Z994" s="61"/>
      <c r="AA994" s="61"/>
      <c r="AB994" s="61"/>
      <c r="AC994" s="61"/>
      <c r="AD994" s="61"/>
      <c r="AE994" s="61"/>
      <c r="AF994" s="61"/>
      <c r="AG994" s="61"/>
      <c r="AH994" s="61"/>
      <c r="AI994" s="61"/>
      <c r="AJ994" s="61"/>
      <c r="AK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2"/>
      <c r="W995" s="61"/>
      <c r="X995" s="61"/>
      <c r="Y995" s="61"/>
      <c r="Z995" s="61"/>
      <c r="AA995" s="61"/>
      <c r="AB995" s="61"/>
      <c r="AC995" s="61"/>
      <c r="AD995" s="61"/>
      <c r="AE995" s="61"/>
      <c r="AF995" s="61"/>
      <c r="AG995" s="61"/>
      <c r="AH995" s="61"/>
      <c r="AI995" s="61"/>
      <c r="AJ995" s="61"/>
      <c r="AK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2"/>
      <c r="W996" s="61"/>
      <c r="X996" s="61"/>
      <c r="Y996" s="61"/>
      <c r="Z996" s="61"/>
      <c r="AA996" s="61"/>
      <c r="AB996" s="61"/>
      <c r="AC996" s="61"/>
      <c r="AD996" s="61"/>
      <c r="AE996" s="61"/>
      <c r="AF996" s="61"/>
      <c r="AG996" s="61"/>
      <c r="AH996" s="61"/>
      <c r="AI996" s="61"/>
      <c r="AJ996" s="61"/>
      <c r="AK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2"/>
      <c r="W997" s="61"/>
      <c r="X997" s="61"/>
      <c r="Y997" s="61"/>
      <c r="Z997" s="61"/>
      <c r="AA997" s="61"/>
      <c r="AB997" s="61"/>
      <c r="AC997" s="61"/>
      <c r="AD997" s="61"/>
      <c r="AE997" s="61"/>
      <c r="AF997" s="61"/>
      <c r="AG997" s="61"/>
      <c r="AH997" s="61"/>
      <c r="AI997" s="61"/>
      <c r="AJ997" s="61"/>
      <c r="AK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2"/>
      <c r="W998" s="61"/>
      <c r="X998" s="61"/>
      <c r="Y998" s="61"/>
      <c r="Z998" s="61"/>
      <c r="AA998" s="61"/>
      <c r="AB998" s="61"/>
      <c r="AC998" s="61"/>
      <c r="AD998" s="61"/>
      <c r="AE998" s="61"/>
      <c r="AF998" s="61"/>
      <c r="AG998" s="61"/>
      <c r="AH998" s="61"/>
      <c r="AI998" s="61"/>
      <c r="AJ998" s="61"/>
      <c r="AK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2"/>
      <c r="W999" s="61"/>
      <c r="X999" s="61"/>
      <c r="Y999" s="61"/>
      <c r="Z999" s="61"/>
      <c r="AA999" s="61"/>
      <c r="AB999" s="61"/>
      <c r="AC999" s="61"/>
      <c r="AD999" s="61"/>
      <c r="AE999" s="61"/>
      <c r="AF999" s="61"/>
      <c r="AG999" s="61"/>
      <c r="AH999" s="61"/>
      <c r="AI999" s="61"/>
      <c r="AJ999" s="61"/>
      <c r="AK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2"/>
      <c r="W1000" s="61"/>
      <c r="X1000" s="61"/>
      <c r="Y1000" s="61"/>
      <c r="Z1000" s="61"/>
      <c r="AA1000" s="61"/>
      <c r="AB1000" s="61"/>
      <c r="AC1000" s="61"/>
      <c r="AD1000" s="61"/>
      <c r="AE1000" s="61"/>
      <c r="AF1000" s="61"/>
      <c r="AG1000" s="61"/>
      <c r="AH1000" s="61"/>
      <c r="AI1000" s="61"/>
      <c r="AJ1000" s="61"/>
      <c r="AK1000" s="61"/>
    </row>
  </sheetData>
  <dataValidations>
    <dataValidation type="list" allowBlank="1" showErrorMessage="1" sqref="A2:A103">
      <formula1>"Y,N,FLAGGED"</formula1>
    </dataValidation>
    <dataValidation type="list" allowBlank="1" showErrorMessage="1" sqref="V2:V55">
      <formula1>"New,Pending Approval,Approved,Contacted,Responded,Call Completed,Demo Scheduled ,Hold - DNC,Hold - Check Notes,Error Flagged"</formula1>
    </dataValidation>
  </dataValidations>
  <hyperlinks>
    <hyperlink display="Sending to @dreamcarsmia  " location="'Miami Operators'!W14" ref="T4"/>
    <hyperlink r:id="rId1" ref="J26"/>
    <hyperlink r:id="rId2" ref="K26"/>
  </hyperlinks>
  <printOptions/>
  <pageMargins bottom="1.0" footer="0.0" header="0.0" left="0.75" right="0.75" top="1.0"/>
  <pageSetup orientation="portrait"/>
  <headerFooter>
    <oddFooter>&amp;C000000&amp;P</oddFooter>
  </headerFooter>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6.0"/>
    <col customWidth="1" min="3" max="4" width="18.0"/>
    <col customWidth="1" min="5" max="5" width="14.0"/>
    <col customWidth="1" min="6" max="6" width="24.0"/>
    <col customWidth="1" min="7" max="7" width="40.0"/>
    <col customWidth="1" min="8" max="26" width="8.71"/>
  </cols>
  <sheetData>
    <row r="1" ht="23.25" customHeight="1">
      <c r="A1" s="6" t="s">
        <v>378</v>
      </c>
      <c r="B1" s="6" t="s">
        <v>379</v>
      </c>
      <c r="C1" s="6" t="s">
        <v>380</v>
      </c>
      <c r="D1" s="6" t="s">
        <v>381</v>
      </c>
      <c r="E1" s="6" t="s">
        <v>382</v>
      </c>
      <c r="F1" s="6" t="s">
        <v>383</v>
      </c>
      <c r="G1" s="6" t="s">
        <v>51</v>
      </c>
      <c r="H1" s="61"/>
      <c r="I1" s="61"/>
      <c r="J1" s="61"/>
      <c r="K1" s="61"/>
      <c r="L1" s="61"/>
      <c r="M1" s="61"/>
      <c r="N1" s="61"/>
      <c r="O1" s="61"/>
      <c r="P1" s="61"/>
      <c r="Q1" s="61"/>
      <c r="R1" s="61"/>
      <c r="S1" s="61"/>
      <c r="T1" s="61"/>
      <c r="U1" s="61"/>
      <c r="V1" s="61"/>
      <c r="W1" s="61"/>
      <c r="X1" s="61"/>
      <c r="Y1" s="61"/>
      <c r="Z1" s="61"/>
    </row>
    <row r="2" ht="13.5" customHeight="1">
      <c r="A2" s="33"/>
      <c r="B2" s="33"/>
      <c r="C2" s="33"/>
      <c r="D2" s="33"/>
      <c r="E2" s="33"/>
      <c r="F2" s="33"/>
      <c r="G2" s="33"/>
      <c r="H2" s="61"/>
      <c r="I2" s="61"/>
      <c r="J2" s="61"/>
      <c r="K2" s="61"/>
      <c r="L2" s="61"/>
      <c r="M2" s="61"/>
      <c r="N2" s="61"/>
      <c r="O2" s="61"/>
      <c r="P2" s="61"/>
      <c r="Q2" s="61"/>
      <c r="R2" s="61"/>
      <c r="S2" s="61"/>
      <c r="T2" s="61"/>
      <c r="U2" s="61"/>
      <c r="V2" s="61"/>
      <c r="W2" s="61"/>
      <c r="X2" s="61"/>
      <c r="Y2" s="61"/>
      <c r="Z2" s="61"/>
    </row>
    <row r="3" ht="13.5" customHeight="1">
      <c r="A3" s="41"/>
      <c r="B3" s="41"/>
      <c r="C3" s="41"/>
      <c r="D3" s="41"/>
      <c r="E3" s="41"/>
      <c r="F3" s="41"/>
      <c r="G3" s="41"/>
      <c r="H3" s="61"/>
      <c r="I3" s="61"/>
      <c r="J3" s="61"/>
      <c r="K3" s="61"/>
      <c r="L3" s="61"/>
      <c r="M3" s="61"/>
      <c r="N3" s="61"/>
      <c r="O3" s="61"/>
      <c r="P3" s="61"/>
      <c r="Q3" s="61"/>
      <c r="R3" s="61"/>
      <c r="S3" s="61"/>
      <c r="T3" s="61"/>
      <c r="U3" s="61"/>
      <c r="V3" s="61"/>
      <c r="W3" s="61"/>
      <c r="X3" s="61"/>
      <c r="Y3" s="61"/>
      <c r="Z3" s="61"/>
    </row>
    <row r="4" ht="13.5" customHeight="1">
      <c r="A4" s="41"/>
      <c r="B4" s="41"/>
      <c r="C4" s="41"/>
      <c r="D4" s="41"/>
      <c r="E4" s="41"/>
      <c r="F4" s="41"/>
      <c r="G4" s="41"/>
      <c r="H4" s="61"/>
      <c r="I4" s="61"/>
      <c r="J4" s="61"/>
      <c r="K4" s="61"/>
      <c r="L4" s="61"/>
      <c r="M4" s="61"/>
      <c r="N4" s="61"/>
      <c r="O4" s="61"/>
      <c r="P4" s="61"/>
      <c r="Q4" s="61"/>
      <c r="R4" s="61"/>
      <c r="S4" s="61"/>
      <c r="T4" s="61"/>
      <c r="U4" s="61"/>
      <c r="V4" s="61"/>
      <c r="W4" s="61"/>
      <c r="X4" s="61"/>
      <c r="Y4" s="61"/>
      <c r="Z4" s="61"/>
    </row>
    <row r="5" ht="13.5" customHeight="1">
      <c r="A5" s="41"/>
      <c r="B5" s="41"/>
      <c r="C5" s="41"/>
      <c r="D5" s="41"/>
      <c r="E5" s="41"/>
      <c r="F5" s="41"/>
      <c r="G5" s="41"/>
      <c r="H5" s="61"/>
      <c r="I5" s="61"/>
      <c r="J5" s="61"/>
      <c r="K5" s="61"/>
      <c r="L5" s="61"/>
      <c r="M5" s="61"/>
      <c r="N5" s="61"/>
      <c r="O5" s="61"/>
      <c r="P5" s="61"/>
      <c r="Q5" s="61"/>
      <c r="R5" s="61"/>
      <c r="S5" s="61"/>
      <c r="T5" s="61"/>
      <c r="U5" s="61"/>
      <c r="V5" s="61"/>
      <c r="W5" s="61"/>
      <c r="X5" s="61"/>
      <c r="Y5" s="61"/>
      <c r="Z5" s="61"/>
    </row>
    <row r="6" ht="13.5" customHeight="1">
      <c r="A6" s="41"/>
      <c r="B6" s="41"/>
      <c r="C6" s="41"/>
      <c r="D6" s="41"/>
      <c r="E6" s="41"/>
      <c r="F6" s="41"/>
      <c r="G6" s="41"/>
      <c r="H6" s="61"/>
      <c r="I6" s="61"/>
      <c r="J6" s="61"/>
      <c r="K6" s="61"/>
      <c r="L6" s="61"/>
      <c r="M6" s="61"/>
      <c r="N6" s="61"/>
      <c r="O6" s="61"/>
      <c r="P6" s="61"/>
      <c r="Q6" s="61"/>
      <c r="R6" s="61"/>
      <c r="S6" s="61"/>
      <c r="T6" s="61"/>
      <c r="U6" s="61"/>
      <c r="V6" s="61"/>
      <c r="W6" s="61"/>
      <c r="X6" s="61"/>
      <c r="Y6" s="61"/>
      <c r="Z6" s="61"/>
    </row>
    <row r="7" ht="13.5" customHeight="1">
      <c r="A7" s="41"/>
      <c r="B7" s="41"/>
      <c r="C7" s="41"/>
      <c r="D7" s="41"/>
      <c r="E7" s="41"/>
      <c r="F7" s="41"/>
      <c r="G7" s="41"/>
      <c r="H7" s="61"/>
      <c r="I7" s="61"/>
      <c r="J7" s="61"/>
      <c r="K7" s="61"/>
      <c r="L7" s="61"/>
      <c r="M7" s="61"/>
      <c r="N7" s="61"/>
      <c r="O7" s="61"/>
      <c r="P7" s="61"/>
      <c r="Q7" s="61"/>
      <c r="R7" s="61"/>
      <c r="S7" s="61"/>
      <c r="T7" s="61"/>
      <c r="U7" s="61"/>
      <c r="V7" s="61"/>
      <c r="W7" s="61"/>
      <c r="X7" s="61"/>
      <c r="Y7" s="61"/>
      <c r="Z7" s="61"/>
    </row>
    <row r="8" ht="13.5" customHeight="1">
      <c r="A8" s="41"/>
      <c r="B8" s="41"/>
      <c r="C8" s="41"/>
      <c r="D8" s="41"/>
      <c r="E8" s="41"/>
      <c r="F8" s="41"/>
      <c r="G8" s="41"/>
      <c r="H8" s="61"/>
      <c r="I8" s="61"/>
      <c r="J8" s="61"/>
      <c r="K8" s="61"/>
      <c r="L8" s="61"/>
      <c r="M8" s="61"/>
      <c r="N8" s="61"/>
      <c r="O8" s="61"/>
      <c r="P8" s="61"/>
      <c r="Q8" s="61"/>
      <c r="R8" s="61"/>
      <c r="S8" s="61"/>
      <c r="T8" s="61"/>
      <c r="U8" s="61"/>
      <c r="V8" s="61"/>
      <c r="W8" s="61"/>
      <c r="X8" s="61"/>
      <c r="Y8" s="61"/>
      <c r="Z8" s="61"/>
    </row>
    <row r="9" ht="13.5" customHeight="1">
      <c r="A9" s="41"/>
      <c r="B9" s="41"/>
      <c r="C9" s="41"/>
      <c r="D9" s="41"/>
      <c r="E9" s="41"/>
      <c r="F9" s="41"/>
      <c r="G9" s="41"/>
      <c r="H9" s="61"/>
      <c r="I9" s="61"/>
      <c r="J9" s="61"/>
      <c r="K9" s="61"/>
      <c r="L9" s="61"/>
      <c r="M9" s="61"/>
      <c r="N9" s="61"/>
      <c r="O9" s="61"/>
      <c r="P9" s="61"/>
      <c r="Q9" s="61"/>
      <c r="R9" s="61"/>
      <c r="S9" s="61"/>
      <c r="T9" s="61"/>
      <c r="U9" s="61"/>
      <c r="V9" s="61"/>
      <c r="W9" s="61"/>
      <c r="X9" s="61"/>
      <c r="Y9" s="61"/>
      <c r="Z9" s="61"/>
    </row>
    <row r="10" ht="13.5" customHeight="1">
      <c r="A10" s="41"/>
      <c r="B10" s="41"/>
      <c r="C10" s="41"/>
      <c r="D10" s="41"/>
      <c r="E10" s="41"/>
      <c r="F10" s="41"/>
      <c r="G10" s="41"/>
      <c r="H10" s="61"/>
      <c r="I10" s="61"/>
      <c r="J10" s="61"/>
      <c r="K10" s="61"/>
      <c r="L10" s="61"/>
      <c r="M10" s="61"/>
      <c r="N10" s="61"/>
      <c r="O10" s="61"/>
      <c r="P10" s="61"/>
      <c r="Q10" s="61"/>
      <c r="R10" s="61"/>
      <c r="S10" s="61"/>
      <c r="T10" s="61"/>
      <c r="U10" s="61"/>
      <c r="V10" s="61"/>
      <c r="W10" s="61"/>
      <c r="X10" s="61"/>
      <c r="Y10" s="61"/>
      <c r="Z10" s="61"/>
    </row>
    <row r="1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printOptions/>
  <pageMargins bottom="1.0" footer="0.0" header="0.0" left="0.75" right="0.75"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18.0"/>
    <col customWidth="1" min="3" max="3" width="16.0"/>
    <col customWidth="1" min="4" max="4" width="18.0"/>
    <col customWidth="1" min="5" max="5" width="14.0"/>
    <col customWidth="1" min="6" max="26" width="8.71"/>
  </cols>
  <sheetData>
    <row r="1" ht="23.25" customHeight="1">
      <c r="A1" s="6" t="s">
        <v>384</v>
      </c>
      <c r="B1" s="6" t="s">
        <v>385</v>
      </c>
      <c r="C1" s="6" t="s">
        <v>386</v>
      </c>
      <c r="D1" s="6" t="s">
        <v>381</v>
      </c>
      <c r="E1" s="6" t="s">
        <v>382</v>
      </c>
      <c r="F1" s="61"/>
      <c r="G1" s="61"/>
      <c r="H1" s="61"/>
      <c r="I1" s="61"/>
      <c r="J1" s="61"/>
      <c r="K1" s="61"/>
      <c r="L1" s="61"/>
      <c r="M1" s="61"/>
      <c r="N1" s="61"/>
      <c r="O1" s="61"/>
      <c r="P1" s="61"/>
      <c r="Q1" s="61"/>
      <c r="R1" s="61"/>
      <c r="S1" s="61"/>
      <c r="T1" s="61"/>
      <c r="U1" s="61"/>
      <c r="V1" s="61"/>
      <c r="W1" s="61"/>
      <c r="X1" s="61"/>
      <c r="Y1" s="61"/>
      <c r="Z1" s="61"/>
    </row>
    <row r="2" ht="15.0" customHeight="1">
      <c r="A2" s="10" t="s">
        <v>66</v>
      </c>
      <c r="B2" s="63">
        <f t="array" ref="B2">COUNTIF('Miami Operators'!AJ$2:AJ$200,A2)</f>
        <v>23</v>
      </c>
      <c r="C2" s="63" t="str">
        <f t="array" ref="C2">COUNTIFS('Miami Operators'!AJ$2:AJ$200,A2,#REF!,"&lt;&gt;New",#REF!,"&lt;&gt;Pending Approval")</f>
        <v>#VALUE!</v>
      </c>
      <c r="D2" s="63">
        <f t="array" ref="D2">COUNTIFS('Miami Operators'!AJ$2:AJ$200,A2,'Miami Operators'!AE$2:AE$200,"Y")</f>
        <v>2</v>
      </c>
      <c r="E2" s="63" t="str">
        <f t="array" ref="E2">COUNTIFS('Miami Operators'!AJ$2:AJ$200,A2,#REF!,"Demo Scheduled")</f>
        <v>#VALUE!</v>
      </c>
      <c r="F2" s="61"/>
      <c r="G2" s="61"/>
      <c r="H2" s="61"/>
      <c r="I2" s="61"/>
      <c r="J2" s="61"/>
      <c r="K2" s="61"/>
      <c r="L2" s="61"/>
      <c r="M2" s="61"/>
      <c r="N2" s="61"/>
      <c r="O2" s="61"/>
      <c r="P2" s="61"/>
      <c r="Q2" s="61"/>
      <c r="R2" s="61"/>
      <c r="S2" s="61"/>
      <c r="T2" s="61"/>
      <c r="U2" s="61"/>
      <c r="V2" s="61"/>
      <c r="W2" s="61"/>
      <c r="X2" s="61"/>
      <c r="Y2" s="61"/>
      <c r="Z2" s="61"/>
    </row>
    <row r="3" ht="15.0" customHeight="1">
      <c r="A3" s="10" t="s">
        <v>387</v>
      </c>
      <c r="B3" s="63">
        <f t="array" ref="B3">COUNTIF('Miami Operators'!AJ$2:AJ$200,A3)</f>
        <v>0</v>
      </c>
      <c r="C3" s="63" t="str">
        <f t="array" ref="C3">COUNTIFS('Miami Operators'!AJ$2:AJ$200,A3,#REF!,"&lt;&gt;New",#REF!,"&lt;&gt;Pending Approval")</f>
        <v>#VALUE!</v>
      </c>
      <c r="D3" s="63">
        <f t="array" ref="D3">COUNTIFS('Miami Operators'!AJ$2:AJ$200,A3,'Miami Operators'!AE$2:AE$200,"Y")</f>
        <v>0</v>
      </c>
      <c r="E3" s="63" t="str">
        <f t="array" ref="E3">COUNTIFS('Miami Operators'!AJ$2:AJ$200,A3,#REF!,"Demo Scheduled")</f>
        <v>#VALUE!</v>
      </c>
      <c r="F3" s="61"/>
      <c r="G3" s="61"/>
      <c r="H3" s="61"/>
      <c r="I3" s="61"/>
      <c r="J3" s="61"/>
      <c r="K3" s="61"/>
      <c r="L3" s="61"/>
      <c r="M3" s="61"/>
      <c r="N3" s="61"/>
      <c r="O3" s="61"/>
      <c r="P3" s="61"/>
      <c r="Q3" s="61"/>
      <c r="R3" s="61"/>
      <c r="S3" s="61"/>
      <c r="T3" s="61"/>
      <c r="U3" s="61"/>
      <c r="V3" s="61"/>
      <c r="W3" s="61"/>
      <c r="X3" s="61"/>
      <c r="Y3" s="61"/>
      <c r="Z3" s="61"/>
    </row>
    <row r="4" ht="15.0" customHeight="1">
      <c r="A4" s="10" t="s">
        <v>388</v>
      </c>
      <c r="B4" s="63">
        <f t="array" ref="B4">COUNTIF('Miami Operators'!AJ$2:AJ$200,A4)</f>
        <v>0</v>
      </c>
      <c r="C4" s="63" t="str">
        <f t="array" ref="C4">COUNTIFS('Miami Operators'!AJ$2:AJ$200,A4,#REF!,"&lt;&gt;New",#REF!,"&lt;&gt;Pending Approval")</f>
        <v>#VALUE!</v>
      </c>
      <c r="D4" s="63">
        <f t="array" ref="D4">COUNTIFS('Miami Operators'!AJ$2:AJ$200,A4,'Miami Operators'!AE$2:AE$200,"Y")</f>
        <v>0</v>
      </c>
      <c r="E4" s="63" t="str">
        <f t="array" ref="E4">COUNTIFS('Miami Operators'!AJ$2:AJ$200,A4,#REF!,"Demo Scheduled")</f>
        <v>#VALUE!</v>
      </c>
      <c r="F4" s="61"/>
      <c r="G4" s="61"/>
      <c r="H4" s="61"/>
      <c r="I4" s="61"/>
      <c r="J4" s="61"/>
      <c r="K4" s="61"/>
      <c r="L4" s="61"/>
      <c r="M4" s="61"/>
      <c r="N4" s="61"/>
      <c r="O4" s="61"/>
      <c r="P4" s="61"/>
      <c r="Q4" s="61"/>
      <c r="R4" s="61"/>
      <c r="S4" s="61"/>
      <c r="T4" s="61"/>
      <c r="U4" s="61"/>
      <c r="V4" s="61"/>
      <c r="W4" s="61"/>
      <c r="X4" s="61"/>
      <c r="Y4" s="61"/>
      <c r="Z4" s="61"/>
    </row>
    <row r="5" ht="15.0" customHeight="1">
      <c r="A5" s="10" t="s">
        <v>389</v>
      </c>
      <c r="B5" s="63">
        <f t="array" ref="B5">COUNTIF('Miami Operators'!AJ$2:AJ$200,A5)</f>
        <v>0</v>
      </c>
      <c r="C5" s="63" t="str">
        <f t="array" ref="C5">COUNTIFS('Miami Operators'!AJ$2:AJ$200,A5,#REF!,"&lt;&gt;New",#REF!,"&lt;&gt;Pending Approval")</f>
        <v>#VALUE!</v>
      </c>
      <c r="D5" s="63">
        <f t="array" ref="D5">COUNTIFS('Miami Operators'!AJ$2:AJ$200,A5,'Miami Operators'!AE$2:AE$200,"Y")</f>
        <v>0</v>
      </c>
      <c r="E5" s="63" t="str">
        <f t="array" ref="E5">COUNTIFS('Miami Operators'!AJ$2:AJ$200,A5,#REF!,"Demo Scheduled")</f>
        <v>#VALUE!</v>
      </c>
      <c r="F5" s="61"/>
      <c r="G5" s="61"/>
      <c r="H5" s="61"/>
      <c r="I5" s="61"/>
      <c r="J5" s="61"/>
      <c r="K5" s="61"/>
      <c r="L5" s="61"/>
      <c r="M5" s="61"/>
      <c r="N5" s="61"/>
      <c r="O5" s="61"/>
      <c r="P5" s="61"/>
      <c r="Q5" s="61"/>
      <c r="R5" s="61"/>
      <c r="S5" s="61"/>
      <c r="T5" s="61"/>
      <c r="U5" s="61"/>
      <c r="V5" s="61"/>
      <c r="W5" s="61"/>
      <c r="X5" s="61"/>
      <c r="Y5" s="61"/>
      <c r="Z5" s="61"/>
    </row>
    <row r="6" ht="15.0" customHeight="1">
      <c r="A6" s="64" t="s">
        <v>390</v>
      </c>
      <c r="B6" s="65">
        <f t="array" ref="B6">SUM(B2:B5)</f>
        <v>23</v>
      </c>
      <c r="C6" s="65" t="str">
        <f t="array" ref="C6">SUM(C2:C5)</f>
        <v>#VALUE!</v>
      </c>
      <c r="D6" s="65">
        <f t="array" ref="D6">SUM(D2:D5)</f>
        <v>2</v>
      </c>
      <c r="E6" s="65" t="str">
        <f t="array" ref="E6">SUM(E2:E5)</f>
        <v>#VALUE!</v>
      </c>
      <c r="F6" s="61"/>
      <c r="G6" s="61"/>
      <c r="H6" s="61"/>
      <c r="I6" s="61"/>
      <c r="J6" s="61"/>
      <c r="K6" s="61"/>
      <c r="L6" s="61"/>
      <c r="M6" s="61"/>
      <c r="N6" s="61"/>
      <c r="O6" s="61"/>
      <c r="P6" s="61"/>
      <c r="Q6" s="61"/>
      <c r="R6" s="61"/>
      <c r="S6" s="61"/>
      <c r="T6" s="61"/>
      <c r="U6" s="61"/>
      <c r="V6" s="61"/>
      <c r="W6" s="61"/>
      <c r="X6" s="61"/>
      <c r="Y6" s="61"/>
      <c r="Z6" s="61"/>
    </row>
    <row r="7" ht="13.5" customHeight="1">
      <c r="A7" s="33"/>
      <c r="B7" s="33"/>
      <c r="C7" s="33"/>
      <c r="D7" s="33"/>
      <c r="E7" s="33"/>
      <c r="F7" s="61"/>
      <c r="G7" s="61"/>
      <c r="H7" s="61"/>
      <c r="I7" s="61"/>
      <c r="J7" s="61"/>
      <c r="K7" s="61"/>
      <c r="L7" s="61"/>
      <c r="M7" s="61"/>
      <c r="N7" s="61"/>
      <c r="O7" s="61"/>
      <c r="P7" s="61"/>
      <c r="Q7" s="61"/>
      <c r="R7" s="61"/>
      <c r="S7" s="61"/>
      <c r="T7" s="61"/>
      <c r="U7" s="61"/>
      <c r="V7" s="61"/>
      <c r="W7" s="61"/>
      <c r="X7" s="61"/>
      <c r="Y7" s="61"/>
      <c r="Z7" s="61"/>
    </row>
    <row r="8" ht="13.5" customHeight="1">
      <c r="A8" s="41"/>
      <c r="B8" s="41"/>
      <c r="C8" s="41"/>
      <c r="D8" s="41"/>
      <c r="E8" s="41"/>
      <c r="F8" s="61"/>
      <c r="G8" s="61"/>
      <c r="H8" s="61"/>
      <c r="I8" s="61"/>
      <c r="J8" s="61"/>
      <c r="K8" s="61"/>
      <c r="L8" s="61"/>
      <c r="M8" s="61"/>
      <c r="N8" s="61"/>
      <c r="O8" s="61"/>
      <c r="P8" s="61"/>
      <c r="Q8" s="61"/>
      <c r="R8" s="61"/>
      <c r="S8" s="61"/>
      <c r="T8" s="61"/>
      <c r="U8" s="61"/>
      <c r="V8" s="61"/>
      <c r="W8" s="61"/>
      <c r="X8" s="61"/>
      <c r="Y8" s="61"/>
      <c r="Z8" s="61"/>
    </row>
    <row r="9" ht="13.5" customHeight="1">
      <c r="A9" s="41"/>
      <c r="B9" s="41"/>
      <c r="C9" s="41"/>
      <c r="D9" s="41"/>
      <c r="E9" s="41"/>
      <c r="F9" s="61"/>
      <c r="G9" s="61"/>
      <c r="H9" s="61"/>
      <c r="I9" s="61"/>
      <c r="J9" s="61"/>
      <c r="K9" s="61"/>
      <c r="L9" s="61"/>
      <c r="M9" s="61"/>
      <c r="N9" s="61"/>
      <c r="O9" s="61"/>
      <c r="P9" s="61"/>
      <c r="Q9" s="61"/>
      <c r="R9" s="61"/>
      <c r="S9" s="61"/>
      <c r="T9" s="61"/>
      <c r="U9" s="61"/>
      <c r="V9" s="61"/>
      <c r="W9" s="61"/>
      <c r="X9" s="61"/>
      <c r="Y9" s="61"/>
      <c r="Z9" s="61"/>
    </row>
    <row r="10" ht="13.5" customHeight="1">
      <c r="A10" s="41"/>
      <c r="B10" s="41"/>
      <c r="C10" s="41"/>
      <c r="D10" s="41"/>
      <c r="E10" s="41"/>
      <c r="F10" s="61"/>
      <c r="G10" s="61"/>
      <c r="H10" s="61"/>
      <c r="I10" s="61"/>
      <c r="J10" s="61"/>
      <c r="K10" s="61"/>
      <c r="L10" s="61"/>
      <c r="M10" s="61"/>
      <c r="N10" s="61"/>
      <c r="O10" s="61"/>
      <c r="P10" s="61"/>
      <c r="Q10" s="61"/>
      <c r="R10" s="61"/>
      <c r="S10" s="61"/>
      <c r="T10" s="61"/>
      <c r="U10" s="61"/>
      <c r="V10" s="61"/>
      <c r="W10" s="61"/>
      <c r="X10" s="61"/>
      <c r="Y10" s="61"/>
      <c r="Z10" s="61"/>
    </row>
    <row r="1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printOptions/>
  <pageMargins bottom="1.0" footer="0.0" header="0.0" left="0.75" right="0.75"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66" t="s">
        <v>16</v>
      </c>
      <c r="B1" s="66" t="s">
        <v>17</v>
      </c>
      <c r="C1" s="66" t="s">
        <v>18</v>
      </c>
      <c r="D1" s="66" t="s">
        <v>19</v>
      </c>
      <c r="E1" s="66" t="s">
        <v>20</v>
      </c>
      <c r="F1" s="66" t="s">
        <v>21</v>
      </c>
      <c r="G1" s="66" t="s">
        <v>22</v>
      </c>
      <c r="H1" s="66" t="s">
        <v>23</v>
      </c>
      <c r="I1" s="66" t="s">
        <v>24</v>
      </c>
      <c r="J1" s="66" t="s">
        <v>25</v>
      </c>
      <c r="K1" s="66" t="s">
        <v>26</v>
      </c>
      <c r="L1" s="66" t="s">
        <v>27</v>
      </c>
      <c r="M1" s="66" t="s">
        <v>28</v>
      </c>
      <c r="N1" s="66" t="s">
        <v>391</v>
      </c>
      <c r="O1" s="66" t="s">
        <v>30</v>
      </c>
      <c r="P1" s="66" t="s">
        <v>31</v>
      </c>
      <c r="Q1" s="66" t="s">
        <v>32</v>
      </c>
      <c r="R1" s="66" t="s">
        <v>33</v>
      </c>
      <c r="S1" s="66" t="s">
        <v>34</v>
      </c>
      <c r="T1" s="66" t="s">
        <v>35</v>
      </c>
      <c r="U1" s="66" t="s">
        <v>36</v>
      </c>
      <c r="V1" s="66" t="s">
        <v>392</v>
      </c>
      <c r="W1" s="66" t="s">
        <v>37</v>
      </c>
      <c r="X1" s="66" t="s">
        <v>393</v>
      </c>
      <c r="Y1" s="66" t="s">
        <v>39</v>
      </c>
      <c r="Z1" s="66" t="s">
        <v>41</v>
      </c>
      <c r="AA1" s="66" t="s">
        <v>42</v>
      </c>
      <c r="AB1" s="66" t="s">
        <v>43</v>
      </c>
      <c r="AC1" s="66" t="s">
        <v>44</v>
      </c>
      <c r="AD1" s="66" t="s">
        <v>45</v>
      </c>
      <c r="AE1" s="66" t="s">
        <v>46</v>
      </c>
      <c r="AF1" s="66" t="s">
        <v>47</v>
      </c>
      <c r="AG1" s="66" t="s">
        <v>48</v>
      </c>
      <c r="AH1" s="66" t="s">
        <v>49</v>
      </c>
      <c r="AI1" s="66" t="s">
        <v>50</v>
      </c>
      <c r="AJ1" s="66" t="s">
        <v>51</v>
      </c>
    </row>
    <row r="2" ht="134.25" customHeight="1">
      <c r="A2" s="67"/>
      <c r="B2" s="67"/>
      <c r="C2" s="67"/>
      <c r="D2" s="67"/>
      <c r="E2" s="67"/>
      <c r="F2" s="68"/>
      <c r="G2" s="9" t="s">
        <v>394</v>
      </c>
      <c r="H2" s="9" t="s">
        <v>395</v>
      </c>
      <c r="I2" s="9" t="s">
        <v>396</v>
      </c>
      <c r="J2" s="51"/>
      <c r="K2" s="68"/>
      <c r="L2" s="9" t="s">
        <v>397</v>
      </c>
      <c r="M2" s="51"/>
      <c r="N2" s="68"/>
      <c r="O2" s="9" t="s">
        <v>298</v>
      </c>
      <c r="P2" s="69" t="s">
        <v>256</v>
      </c>
      <c r="Q2" s="68"/>
      <c r="R2" s="9" t="s">
        <v>398</v>
      </c>
      <c r="S2" s="31">
        <v>3.0</v>
      </c>
      <c r="T2" s="69" t="s">
        <v>399</v>
      </c>
      <c r="U2" s="68"/>
      <c r="V2" s="70" t="s">
        <v>100</v>
      </c>
      <c r="W2" s="9" t="s">
        <v>400</v>
      </c>
      <c r="X2" s="51"/>
      <c r="Y2" s="67"/>
      <c r="Z2" s="67"/>
      <c r="AA2" s="67"/>
      <c r="AB2" s="67"/>
      <c r="AC2" s="67"/>
      <c r="AD2" s="67"/>
      <c r="AE2" s="67"/>
      <c r="AF2" s="67"/>
      <c r="AG2" s="67"/>
      <c r="AH2" s="67"/>
      <c r="AI2" s="68"/>
      <c r="AJ2" s="9" t="s">
        <v>401</v>
      </c>
    </row>
    <row r="3" ht="24.0" customHeight="1">
      <c r="A3" s="8"/>
      <c r="B3" s="8"/>
      <c r="C3" s="8"/>
      <c r="D3" s="8"/>
      <c r="E3" s="8"/>
      <c r="F3" s="8"/>
      <c r="G3" s="9" t="s">
        <v>402</v>
      </c>
      <c r="H3" s="9" t="s">
        <v>403</v>
      </c>
      <c r="I3" s="9" t="s">
        <v>396</v>
      </c>
      <c r="J3" s="8"/>
      <c r="K3" s="8"/>
      <c r="L3" s="9" t="s">
        <v>404</v>
      </c>
      <c r="M3" s="8"/>
      <c r="N3" s="8"/>
      <c r="O3" s="9" t="s">
        <v>298</v>
      </c>
      <c r="P3" s="9" t="s">
        <v>334</v>
      </c>
      <c r="Q3" s="8"/>
      <c r="R3" s="9" t="s">
        <v>398</v>
      </c>
      <c r="S3" s="8">
        <v>2.0</v>
      </c>
      <c r="T3" s="9" t="s">
        <v>405</v>
      </c>
      <c r="U3" s="8"/>
      <c r="V3" s="9" t="s">
        <v>86</v>
      </c>
      <c r="W3" s="8"/>
      <c r="X3" s="8"/>
      <c r="Y3" s="8"/>
      <c r="Z3" s="8"/>
      <c r="AA3" s="8"/>
      <c r="AB3" s="8"/>
      <c r="AC3" s="8"/>
      <c r="AD3" s="8"/>
      <c r="AE3" s="8"/>
      <c r="AF3" s="8"/>
      <c r="AG3" s="8"/>
      <c r="AH3" s="8"/>
      <c r="AI3" s="8"/>
      <c r="AJ3" s="9" t="s">
        <v>406</v>
      </c>
    </row>
    <row r="4" ht="46.5" customHeight="1">
      <c r="A4" s="8"/>
      <c r="B4" s="8"/>
      <c r="C4" s="8"/>
      <c r="D4" s="8"/>
      <c r="E4" s="8"/>
      <c r="F4" s="8"/>
      <c r="G4" s="9" t="s">
        <v>407</v>
      </c>
      <c r="H4" s="9" t="s">
        <v>395</v>
      </c>
      <c r="I4" s="9" t="s">
        <v>396</v>
      </c>
      <c r="J4" s="8"/>
      <c r="K4" s="8"/>
      <c r="L4" s="9" t="s">
        <v>408</v>
      </c>
      <c r="M4" s="8"/>
      <c r="N4" s="8"/>
      <c r="O4" s="9" t="s">
        <v>298</v>
      </c>
      <c r="P4" s="9" t="s">
        <v>324</v>
      </c>
      <c r="Q4" s="8"/>
      <c r="R4" s="9" t="s">
        <v>398</v>
      </c>
      <c r="S4" s="8">
        <v>2.0</v>
      </c>
      <c r="T4" s="9" t="s">
        <v>409</v>
      </c>
      <c r="U4" s="8"/>
      <c r="V4" s="9" t="s">
        <v>86</v>
      </c>
      <c r="W4" s="8"/>
      <c r="X4" s="8"/>
      <c r="Y4" s="8"/>
      <c r="Z4" s="8"/>
      <c r="AA4" s="8"/>
      <c r="AB4" s="8"/>
      <c r="AC4" s="8"/>
      <c r="AD4" s="8"/>
      <c r="AE4" s="8"/>
      <c r="AF4" s="8"/>
      <c r="AG4" s="8"/>
      <c r="AH4" s="8"/>
      <c r="AI4" s="8"/>
      <c r="AJ4" s="9" t="s">
        <v>410</v>
      </c>
    </row>
    <row r="5" ht="167.25" customHeight="1">
      <c r="A5" s="33"/>
      <c r="B5" s="33"/>
      <c r="C5" s="33"/>
      <c r="D5" s="33"/>
      <c r="E5" s="33"/>
      <c r="F5" s="34"/>
      <c r="G5" s="9" t="s">
        <v>411</v>
      </c>
      <c r="H5" s="9" t="s">
        <v>395</v>
      </c>
      <c r="I5" s="9" t="s">
        <v>396</v>
      </c>
      <c r="J5" s="36"/>
      <c r="K5" s="34"/>
      <c r="L5" s="9" t="s">
        <v>412</v>
      </c>
      <c r="M5" s="37"/>
      <c r="N5" s="9" t="s">
        <v>413</v>
      </c>
      <c r="O5" s="9" t="s">
        <v>414</v>
      </c>
      <c r="P5" s="9" t="s">
        <v>313</v>
      </c>
      <c r="Q5" s="37"/>
      <c r="R5" s="9" t="s">
        <v>398</v>
      </c>
      <c r="S5" s="71">
        <v>5.0</v>
      </c>
      <c r="T5" s="9" t="s">
        <v>415</v>
      </c>
      <c r="U5" s="37"/>
      <c r="V5" s="70" t="s">
        <v>100</v>
      </c>
      <c r="W5" s="9" t="s">
        <v>416</v>
      </c>
      <c r="X5" s="36"/>
      <c r="Y5" s="33"/>
      <c r="Z5" s="33"/>
      <c r="AA5" s="33"/>
      <c r="AB5" s="33"/>
      <c r="AC5" s="33"/>
      <c r="AD5" s="33"/>
      <c r="AE5" s="33"/>
      <c r="AF5" s="33"/>
      <c r="AG5" s="33"/>
      <c r="AH5" s="34"/>
      <c r="AI5" s="9" t="s">
        <v>417</v>
      </c>
      <c r="AJ5" s="9" t="s">
        <v>418</v>
      </c>
    </row>
    <row r="6" ht="134.25" customHeight="1">
      <c r="A6" s="41"/>
      <c r="B6" s="41"/>
      <c r="C6" s="41"/>
      <c r="D6" s="41"/>
      <c r="E6" s="41"/>
      <c r="F6" s="47"/>
      <c r="G6" s="9" t="s">
        <v>419</v>
      </c>
      <c r="H6" s="9" t="s">
        <v>395</v>
      </c>
      <c r="I6" s="9" t="s">
        <v>396</v>
      </c>
      <c r="J6" s="46"/>
      <c r="K6" s="47"/>
      <c r="L6" s="9" t="s">
        <v>420</v>
      </c>
      <c r="M6" s="72"/>
      <c r="N6" s="9" t="s">
        <v>421</v>
      </c>
      <c r="O6" s="9" t="s">
        <v>414</v>
      </c>
      <c r="P6" s="9" t="s">
        <v>256</v>
      </c>
      <c r="Q6" s="48"/>
      <c r="R6" s="9" t="s">
        <v>398</v>
      </c>
      <c r="S6" s="49">
        <v>4.0</v>
      </c>
      <c r="T6" s="9" t="s">
        <v>422</v>
      </c>
      <c r="U6" s="48"/>
      <c r="V6" s="70" t="s">
        <v>100</v>
      </c>
      <c r="W6" s="9" t="s">
        <v>423</v>
      </c>
      <c r="X6" s="46"/>
      <c r="Y6" s="41"/>
      <c r="Z6" s="41"/>
      <c r="AA6" s="41"/>
      <c r="AB6" s="41"/>
      <c r="AC6" s="41"/>
      <c r="AD6" s="41"/>
      <c r="AE6" s="41"/>
      <c r="AF6" s="41"/>
      <c r="AG6" s="41"/>
      <c r="AH6" s="47"/>
      <c r="AI6" s="9" t="s">
        <v>417</v>
      </c>
      <c r="AJ6" s="9" t="s">
        <v>424</v>
      </c>
    </row>
    <row r="7" ht="145.5" customHeight="1">
      <c r="A7" s="41"/>
      <c r="B7" s="41"/>
      <c r="C7" s="41"/>
      <c r="D7" s="53"/>
      <c r="E7" s="41"/>
      <c r="F7" s="47"/>
      <c r="G7" s="9" t="s">
        <v>425</v>
      </c>
      <c r="H7" s="9" t="s">
        <v>395</v>
      </c>
      <c r="I7" s="9" t="s">
        <v>396</v>
      </c>
      <c r="J7" s="46"/>
      <c r="K7" s="47"/>
      <c r="L7" s="9" t="s">
        <v>426</v>
      </c>
      <c r="M7" s="9" t="s">
        <v>427</v>
      </c>
      <c r="N7" s="37"/>
      <c r="O7" s="9" t="s">
        <v>414</v>
      </c>
      <c r="P7" s="9" t="s">
        <v>256</v>
      </c>
      <c r="Q7" s="48"/>
      <c r="R7" s="9" t="s">
        <v>398</v>
      </c>
      <c r="S7" s="49">
        <v>4.0</v>
      </c>
      <c r="T7" s="9" t="s">
        <v>428</v>
      </c>
      <c r="U7" s="48"/>
      <c r="V7" s="70" t="s">
        <v>100</v>
      </c>
      <c r="W7" s="9" t="s">
        <v>429</v>
      </c>
      <c r="X7" s="46"/>
      <c r="Y7" s="41"/>
      <c r="Z7" s="41"/>
      <c r="AA7" s="41"/>
      <c r="AB7" s="41"/>
      <c r="AC7" s="41"/>
      <c r="AD7" s="41"/>
      <c r="AE7" s="41"/>
      <c r="AF7" s="41"/>
      <c r="AG7" s="41"/>
      <c r="AH7" s="47"/>
      <c r="AI7" s="9" t="s">
        <v>417</v>
      </c>
      <c r="AJ7" s="9" t="s">
        <v>430</v>
      </c>
    </row>
    <row r="8" ht="167.25" customHeight="1">
      <c r="A8" s="41"/>
      <c r="B8" s="41"/>
      <c r="C8" s="47"/>
      <c r="D8" s="9" t="s">
        <v>431</v>
      </c>
      <c r="E8" s="55"/>
      <c r="F8" s="54"/>
      <c r="G8" s="9" t="s">
        <v>432</v>
      </c>
      <c r="H8" s="9" t="s">
        <v>395</v>
      </c>
      <c r="I8" s="9" t="s">
        <v>396</v>
      </c>
      <c r="J8" s="46"/>
      <c r="K8" s="47"/>
      <c r="L8" s="9" t="s">
        <v>433</v>
      </c>
      <c r="M8" s="51"/>
      <c r="N8" s="47"/>
      <c r="O8" s="9" t="s">
        <v>434</v>
      </c>
      <c r="P8" s="9" t="s">
        <v>214</v>
      </c>
      <c r="Q8" s="48"/>
      <c r="R8" s="9" t="s">
        <v>398</v>
      </c>
      <c r="S8" s="49">
        <v>4.0</v>
      </c>
      <c r="T8" s="9" t="s">
        <v>435</v>
      </c>
      <c r="U8" s="48"/>
      <c r="V8" s="70" t="s">
        <v>100</v>
      </c>
      <c r="W8" s="9" t="s">
        <v>436</v>
      </c>
      <c r="X8" s="46"/>
      <c r="Y8" s="41"/>
      <c r="Z8" s="41"/>
      <c r="AA8" s="41"/>
      <c r="AB8" s="41"/>
      <c r="AC8" s="41"/>
      <c r="AD8" s="41"/>
      <c r="AE8" s="41"/>
      <c r="AF8" s="41"/>
      <c r="AG8" s="41"/>
      <c r="AH8" s="47"/>
      <c r="AI8" s="9" t="s">
        <v>434</v>
      </c>
      <c r="AJ8" s="9" t="s">
        <v>437</v>
      </c>
    </row>
    <row r="9" ht="156.0" customHeight="1">
      <c r="A9" s="41"/>
      <c r="B9" s="41"/>
      <c r="C9" s="47"/>
      <c r="D9" s="9" t="s">
        <v>438</v>
      </c>
      <c r="E9" s="9" t="s">
        <v>439</v>
      </c>
      <c r="F9" s="9" t="s">
        <v>440</v>
      </c>
      <c r="G9" s="9" t="s">
        <v>441</v>
      </c>
      <c r="H9" s="9" t="s">
        <v>403</v>
      </c>
      <c r="I9" s="9" t="s">
        <v>396</v>
      </c>
      <c r="J9" s="46"/>
      <c r="K9" s="47"/>
      <c r="L9" s="9" t="s">
        <v>442</v>
      </c>
      <c r="M9" s="9" t="s">
        <v>443</v>
      </c>
      <c r="N9" s="48"/>
      <c r="O9" s="9" t="s">
        <v>444</v>
      </c>
      <c r="P9" s="9" t="s">
        <v>445</v>
      </c>
      <c r="Q9" s="48"/>
      <c r="R9" s="9" t="s">
        <v>398</v>
      </c>
      <c r="S9" s="31">
        <v>3.0</v>
      </c>
      <c r="T9" s="9" t="s">
        <v>446</v>
      </c>
      <c r="U9" s="48"/>
      <c r="V9" s="70" t="s">
        <v>100</v>
      </c>
      <c r="W9" s="9" t="s">
        <v>447</v>
      </c>
      <c r="X9" s="46"/>
      <c r="Y9" s="41"/>
      <c r="Z9" s="41"/>
      <c r="AA9" s="41"/>
      <c r="AB9" s="41"/>
      <c r="AC9" s="41"/>
      <c r="AD9" s="41"/>
      <c r="AE9" s="41"/>
      <c r="AF9" s="41"/>
      <c r="AG9" s="41"/>
      <c r="AH9" s="47"/>
      <c r="AI9" s="9" t="s">
        <v>448</v>
      </c>
      <c r="AJ9" s="9" t="s">
        <v>449</v>
      </c>
    </row>
    <row r="10" ht="134.25" customHeight="1">
      <c r="A10" s="41"/>
      <c r="B10" s="41"/>
      <c r="C10" s="41"/>
      <c r="D10" s="33"/>
      <c r="E10" s="33"/>
      <c r="F10" s="34"/>
      <c r="G10" s="9" t="s">
        <v>450</v>
      </c>
      <c r="H10" s="9" t="s">
        <v>395</v>
      </c>
      <c r="I10" s="9" t="s">
        <v>396</v>
      </c>
      <c r="J10" s="46"/>
      <c r="K10" s="47"/>
      <c r="L10" s="9" t="s">
        <v>451</v>
      </c>
      <c r="M10" s="36"/>
      <c r="N10" s="47"/>
      <c r="O10" s="9" t="s">
        <v>444</v>
      </c>
      <c r="P10" s="9" t="s">
        <v>268</v>
      </c>
      <c r="Q10" s="48"/>
      <c r="R10" s="9" t="s">
        <v>398</v>
      </c>
      <c r="S10" s="31">
        <v>3.0</v>
      </c>
      <c r="T10" s="9" t="s">
        <v>452</v>
      </c>
      <c r="U10" s="48"/>
      <c r="V10" s="70" t="s">
        <v>100</v>
      </c>
      <c r="W10" s="9" t="s">
        <v>453</v>
      </c>
      <c r="X10" s="46"/>
      <c r="Y10" s="41"/>
      <c r="Z10" s="41"/>
      <c r="AA10" s="41"/>
      <c r="AB10" s="41"/>
      <c r="AC10" s="41"/>
      <c r="AD10" s="41"/>
      <c r="AE10" s="41"/>
      <c r="AF10" s="41"/>
      <c r="AG10" s="41"/>
      <c r="AH10" s="47"/>
      <c r="AI10" s="9" t="s">
        <v>448</v>
      </c>
      <c r="AJ10" s="9" t="s">
        <v>454</v>
      </c>
    </row>
    <row r="11" ht="123.0" customHeight="1">
      <c r="A11" s="41"/>
      <c r="B11" s="41"/>
      <c r="C11" s="41"/>
      <c r="D11" s="41"/>
      <c r="E11" s="41"/>
      <c r="F11" s="47"/>
      <c r="G11" s="9" t="s">
        <v>455</v>
      </c>
      <c r="H11" s="9" t="s">
        <v>395</v>
      </c>
      <c r="I11" s="9" t="s">
        <v>396</v>
      </c>
      <c r="J11" s="46"/>
      <c r="K11" s="47"/>
      <c r="L11" s="9" t="s">
        <v>456</v>
      </c>
      <c r="M11" s="46"/>
      <c r="N11" s="54"/>
      <c r="O11" s="9" t="s">
        <v>298</v>
      </c>
      <c r="P11" s="9" t="s">
        <v>268</v>
      </c>
      <c r="Q11" s="48"/>
      <c r="R11" s="9" t="s">
        <v>398</v>
      </c>
      <c r="S11" s="31">
        <v>3.0</v>
      </c>
      <c r="T11" s="9" t="s">
        <v>457</v>
      </c>
      <c r="U11" s="48"/>
      <c r="V11" s="70" t="s">
        <v>100</v>
      </c>
      <c r="W11" s="9" t="s">
        <v>458</v>
      </c>
      <c r="X11" s="46"/>
      <c r="Y11" s="41"/>
      <c r="Z11" s="41"/>
      <c r="AA11" s="41"/>
      <c r="AB11" s="41"/>
      <c r="AC11" s="41"/>
      <c r="AD11" s="41"/>
      <c r="AE11" s="41"/>
      <c r="AF11" s="41"/>
      <c r="AG11" s="41"/>
      <c r="AH11" s="47"/>
      <c r="AI11" s="9" t="s">
        <v>298</v>
      </c>
      <c r="AJ11" s="9" t="s">
        <v>459</v>
      </c>
    </row>
    <row r="12" ht="57.0" customHeight="1">
      <c r="A12" s="41"/>
      <c r="B12" s="41"/>
      <c r="C12" s="41"/>
      <c r="D12" s="41"/>
      <c r="E12" s="41"/>
      <c r="F12" s="47"/>
      <c r="G12" s="9" t="s">
        <v>460</v>
      </c>
      <c r="H12" s="9" t="s">
        <v>395</v>
      </c>
      <c r="I12" s="9" t="s">
        <v>396</v>
      </c>
      <c r="J12" s="46"/>
      <c r="K12" s="47"/>
      <c r="L12" s="9" t="s">
        <v>461</v>
      </c>
      <c r="M12" s="48"/>
      <c r="N12" s="9" t="s">
        <v>462</v>
      </c>
      <c r="O12" s="9" t="s">
        <v>414</v>
      </c>
      <c r="P12" s="9" t="s">
        <v>268</v>
      </c>
      <c r="Q12" s="48"/>
      <c r="R12" s="9" t="s">
        <v>398</v>
      </c>
      <c r="S12" s="30">
        <v>2.0</v>
      </c>
      <c r="T12" s="9" t="s">
        <v>463</v>
      </c>
      <c r="U12" s="48"/>
      <c r="V12" s="9" t="s">
        <v>86</v>
      </c>
      <c r="W12" s="36"/>
      <c r="X12" s="41"/>
      <c r="Y12" s="41"/>
      <c r="Z12" s="41"/>
      <c r="AA12" s="41"/>
      <c r="AB12" s="41"/>
      <c r="AC12" s="41"/>
      <c r="AD12" s="41"/>
      <c r="AE12" s="41"/>
      <c r="AF12" s="41"/>
      <c r="AG12" s="41"/>
      <c r="AH12" s="47"/>
      <c r="AI12" s="9" t="s">
        <v>414</v>
      </c>
      <c r="AJ12" s="9" t="s">
        <v>464</v>
      </c>
    </row>
    <row r="13" ht="46.5" customHeight="1">
      <c r="A13" s="41"/>
      <c r="B13" s="41"/>
      <c r="C13" s="41"/>
      <c r="D13" s="41"/>
      <c r="E13" s="41"/>
      <c r="F13" s="47"/>
      <c r="G13" s="9" t="s">
        <v>465</v>
      </c>
      <c r="H13" s="9" t="s">
        <v>395</v>
      </c>
      <c r="I13" s="9" t="s">
        <v>396</v>
      </c>
      <c r="J13" s="46"/>
      <c r="K13" s="47"/>
      <c r="L13" s="9" t="s">
        <v>466</v>
      </c>
      <c r="M13" s="48"/>
      <c r="N13" s="9" t="s">
        <v>467</v>
      </c>
      <c r="O13" s="9" t="s">
        <v>298</v>
      </c>
      <c r="P13" s="9" t="s">
        <v>324</v>
      </c>
      <c r="Q13" s="48"/>
      <c r="R13" s="9" t="s">
        <v>398</v>
      </c>
      <c r="S13" s="30">
        <v>2.0</v>
      </c>
      <c r="T13" s="9" t="s">
        <v>468</v>
      </c>
      <c r="U13" s="48"/>
      <c r="V13" s="9" t="s">
        <v>86</v>
      </c>
      <c r="W13" s="46"/>
      <c r="X13" s="41"/>
      <c r="Y13" s="41"/>
      <c r="Z13" s="41"/>
      <c r="AA13" s="41"/>
      <c r="AB13" s="41"/>
      <c r="AC13" s="41"/>
      <c r="AD13" s="41"/>
      <c r="AE13" s="41"/>
      <c r="AF13" s="41"/>
      <c r="AG13" s="41"/>
      <c r="AH13" s="47"/>
      <c r="AI13" s="9" t="s">
        <v>298</v>
      </c>
      <c r="AJ13" s="9" t="s">
        <v>469</v>
      </c>
    </row>
    <row r="14" ht="35.25" customHeight="1">
      <c r="A14" s="41"/>
      <c r="B14" s="41"/>
      <c r="C14" s="41"/>
      <c r="D14" s="41"/>
      <c r="E14" s="41"/>
      <c r="F14" s="47"/>
      <c r="G14" s="9" t="s">
        <v>470</v>
      </c>
      <c r="H14" s="9" t="s">
        <v>403</v>
      </c>
      <c r="I14" s="9" t="s">
        <v>396</v>
      </c>
      <c r="J14" s="46"/>
      <c r="K14" s="47"/>
      <c r="L14" s="9" t="s">
        <v>471</v>
      </c>
      <c r="M14" s="48"/>
      <c r="N14" s="9" t="s">
        <v>472</v>
      </c>
      <c r="O14" s="9" t="s">
        <v>298</v>
      </c>
      <c r="P14" s="9" t="s">
        <v>324</v>
      </c>
      <c r="Q14" s="48"/>
      <c r="R14" s="9" t="s">
        <v>398</v>
      </c>
      <c r="S14" s="30">
        <v>2.0</v>
      </c>
      <c r="T14" s="9" t="s">
        <v>473</v>
      </c>
      <c r="U14" s="48"/>
      <c r="V14" s="9" t="s">
        <v>86</v>
      </c>
      <c r="W14" s="46"/>
      <c r="X14" s="41"/>
      <c r="Y14" s="41"/>
      <c r="Z14" s="41"/>
      <c r="AA14" s="41"/>
      <c r="AB14" s="41"/>
      <c r="AC14" s="41"/>
      <c r="AD14" s="41"/>
      <c r="AE14" s="41"/>
      <c r="AF14" s="41"/>
      <c r="AG14" s="41"/>
      <c r="AH14" s="47"/>
      <c r="AI14" s="9" t="s">
        <v>298</v>
      </c>
      <c r="AJ14" s="9" t="s">
        <v>474</v>
      </c>
    </row>
    <row r="15" ht="35.25" customHeight="1">
      <c r="A15" s="41"/>
      <c r="B15" s="41"/>
      <c r="C15" s="41"/>
      <c r="D15" s="41"/>
      <c r="E15" s="41"/>
      <c r="F15" s="47"/>
      <c r="G15" s="9" t="s">
        <v>475</v>
      </c>
      <c r="H15" s="9" t="s">
        <v>403</v>
      </c>
      <c r="I15" s="9" t="s">
        <v>396</v>
      </c>
      <c r="J15" s="46"/>
      <c r="K15" s="47"/>
      <c r="L15" s="9" t="s">
        <v>476</v>
      </c>
      <c r="M15" s="48"/>
      <c r="N15" s="9" t="s">
        <v>477</v>
      </c>
      <c r="O15" s="9" t="s">
        <v>298</v>
      </c>
      <c r="P15" s="9" t="s">
        <v>334</v>
      </c>
      <c r="Q15" s="48"/>
      <c r="R15" s="9" t="s">
        <v>398</v>
      </c>
      <c r="S15" s="52">
        <v>1.0</v>
      </c>
      <c r="T15" s="9" t="s">
        <v>478</v>
      </c>
      <c r="U15" s="48"/>
      <c r="V15" s="9" t="s">
        <v>86</v>
      </c>
      <c r="W15" s="55"/>
      <c r="X15" s="41"/>
      <c r="Y15" s="41"/>
      <c r="Z15" s="41"/>
      <c r="AA15" s="41"/>
      <c r="AB15" s="41"/>
      <c r="AC15" s="41"/>
      <c r="AD15" s="41"/>
      <c r="AE15" s="41"/>
      <c r="AF15" s="41"/>
      <c r="AG15" s="41"/>
      <c r="AH15" s="47"/>
      <c r="AI15" s="9" t="s">
        <v>298</v>
      </c>
      <c r="AJ15" s="9" t="s">
        <v>479</v>
      </c>
    </row>
    <row r="16" ht="156.0" customHeight="1">
      <c r="A16" s="41"/>
      <c r="B16" s="41"/>
      <c r="C16" s="41"/>
      <c r="D16" s="41"/>
      <c r="E16" s="41"/>
      <c r="F16" s="47"/>
      <c r="G16" s="9" t="s">
        <v>480</v>
      </c>
      <c r="H16" s="9" t="s">
        <v>481</v>
      </c>
      <c r="I16" s="9" t="s">
        <v>482</v>
      </c>
      <c r="J16" s="46"/>
      <c r="K16" s="47"/>
      <c r="L16" s="9" t="s">
        <v>483</v>
      </c>
      <c r="M16" s="48"/>
      <c r="N16" s="9" t="s">
        <v>484</v>
      </c>
      <c r="O16" s="9" t="s">
        <v>414</v>
      </c>
      <c r="P16" s="9" t="s">
        <v>485</v>
      </c>
      <c r="Q16" s="48"/>
      <c r="R16" s="9" t="s">
        <v>398</v>
      </c>
      <c r="S16" s="31">
        <v>3.0</v>
      </c>
      <c r="T16" s="9" t="s">
        <v>486</v>
      </c>
      <c r="U16" s="48"/>
      <c r="V16" s="70" t="s">
        <v>100</v>
      </c>
      <c r="W16" s="9" t="s">
        <v>487</v>
      </c>
      <c r="X16" s="46"/>
      <c r="Y16" s="41"/>
      <c r="Z16" s="41"/>
      <c r="AA16" s="41"/>
      <c r="AB16" s="41"/>
      <c r="AC16" s="41"/>
      <c r="AD16" s="41"/>
      <c r="AE16" s="41"/>
      <c r="AF16" s="41"/>
      <c r="AG16" s="41"/>
      <c r="AH16" s="47"/>
      <c r="AI16" s="9" t="s">
        <v>414</v>
      </c>
      <c r="AJ16" s="9" t="s">
        <v>488</v>
      </c>
    </row>
    <row r="17" ht="68.25" customHeight="1">
      <c r="A17" s="41"/>
      <c r="B17" s="41"/>
      <c r="C17" s="41"/>
      <c r="D17" s="41"/>
      <c r="E17" s="41"/>
      <c r="F17" s="47"/>
      <c r="G17" s="9" t="s">
        <v>489</v>
      </c>
      <c r="H17" s="9" t="s">
        <v>403</v>
      </c>
      <c r="I17" s="9" t="s">
        <v>396</v>
      </c>
      <c r="J17" s="46"/>
      <c r="K17" s="47"/>
      <c r="L17" s="9" t="s">
        <v>490</v>
      </c>
      <c r="M17" s="48"/>
      <c r="N17" s="9" t="s">
        <v>491</v>
      </c>
      <c r="O17" s="9" t="s">
        <v>434</v>
      </c>
      <c r="P17" s="9" t="s">
        <v>256</v>
      </c>
      <c r="Q17" s="48"/>
      <c r="R17" s="9" t="s">
        <v>398</v>
      </c>
      <c r="S17" s="30">
        <v>2.0</v>
      </c>
      <c r="T17" s="9" t="s">
        <v>492</v>
      </c>
      <c r="U17" s="48"/>
      <c r="V17" s="9" t="s">
        <v>86</v>
      </c>
      <c r="W17" s="36"/>
      <c r="X17" s="41"/>
      <c r="Y17" s="41"/>
      <c r="Z17" s="41"/>
      <c r="AA17" s="41"/>
      <c r="AB17" s="41"/>
      <c r="AC17" s="41"/>
      <c r="AD17" s="41"/>
      <c r="AE17" s="41"/>
      <c r="AF17" s="41"/>
      <c r="AG17" s="41"/>
      <c r="AH17" s="47"/>
      <c r="AI17" s="9" t="s">
        <v>434</v>
      </c>
      <c r="AJ17" s="9" t="s">
        <v>493</v>
      </c>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row>
  </sheetData>
  <printOptions/>
  <pageMargins bottom="1.0" footer="0.0" header="0.0" left="0.75" right="0.75"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66" t="s">
        <v>16</v>
      </c>
      <c r="B1" s="66" t="s">
        <v>17</v>
      </c>
      <c r="C1" s="66" t="s">
        <v>18</v>
      </c>
      <c r="D1" s="66" t="s">
        <v>19</v>
      </c>
      <c r="E1" s="66" t="s">
        <v>20</v>
      </c>
      <c r="F1" s="66" t="s">
        <v>21</v>
      </c>
      <c r="G1" s="66" t="s">
        <v>22</v>
      </c>
      <c r="H1" s="66" t="s">
        <v>23</v>
      </c>
      <c r="I1" s="66" t="s">
        <v>24</v>
      </c>
      <c r="J1" s="66" t="s">
        <v>25</v>
      </c>
      <c r="K1" s="66" t="s">
        <v>26</v>
      </c>
      <c r="L1" s="66" t="s">
        <v>27</v>
      </c>
      <c r="M1" s="66" t="s">
        <v>28</v>
      </c>
      <c r="N1" s="66" t="s">
        <v>391</v>
      </c>
      <c r="O1" s="66" t="s">
        <v>30</v>
      </c>
      <c r="P1" s="66" t="s">
        <v>31</v>
      </c>
      <c r="Q1" s="66" t="s">
        <v>32</v>
      </c>
      <c r="R1" s="66" t="s">
        <v>33</v>
      </c>
      <c r="S1" s="66" t="s">
        <v>34</v>
      </c>
      <c r="T1" s="66" t="s">
        <v>35</v>
      </c>
      <c r="U1" s="66" t="s">
        <v>36</v>
      </c>
      <c r="V1" s="66" t="s">
        <v>392</v>
      </c>
      <c r="W1" s="66" t="s">
        <v>37</v>
      </c>
      <c r="X1" s="66" t="s">
        <v>393</v>
      </c>
      <c r="Y1" s="66" t="s">
        <v>39</v>
      </c>
      <c r="Z1" s="66" t="s">
        <v>41</v>
      </c>
      <c r="AA1" s="66" t="s">
        <v>42</v>
      </c>
      <c r="AB1" s="66" t="s">
        <v>43</v>
      </c>
      <c r="AC1" s="66" t="s">
        <v>44</v>
      </c>
      <c r="AD1" s="66" t="s">
        <v>45</v>
      </c>
      <c r="AE1" s="66" t="s">
        <v>46</v>
      </c>
      <c r="AF1" s="66" t="s">
        <v>47</v>
      </c>
      <c r="AG1" s="66" t="s">
        <v>48</v>
      </c>
      <c r="AH1" s="66" t="s">
        <v>49</v>
      </c>
      <c r="AI1" s="66" t="s">
        <v>50</v>
      </c>
      <c r="AJ1" s="66" t="s">
        <v>51</v>
      </c>
    </row>
    <row r="2" ht="35.25" customHeight="1">
      <c r="A2" s="33"/>
      <c r="B2" s="33"/>
      <c r="C2" s="34"/>
      <c r="D2" s="8"/>
      <c r="E2" s="36"/>
      <c r="F2" s="34"/>
      <c r="G2" s="9" t="s">
        <v>494</v>
      </c>
      <c r="H2" s="9" t="s">
        <v>495</v>
      </c>
      <c r="I2" s="9" t="s">
        <v>496</v>
      </c>
      <c r="J2" s="36"/>
      <c r="K2" s="34"/>
      <c r="L2" s="9" t="s">
        <v>497</v>
      </c>
      <c r="M2" s="37"/>
      <c r="N2" s="9" t="s">
        <v>498</v>
      </c>
      <c r="O2" s="9" t="s">
        <v>499</v>
      </c>
      <c r="P2" s="9" t="s">
        <v>500</v>
      </c>
      <c r="Q2" s="37"/>
      <c r="R2" s="9" t="s">
        <v>501</v>
      </c>
      <c r="S2" s="71">
        <v>5.0</v>
      </c>
      <c r="T2" s="9" t="s">
        <v>502</v>
      </c>
      <c r="U2" s="37"/>
      <c r="V2" s="9" t="s">
        <v>86</v>
      </c>
      <c r="W2" s="36"/>
      <c r="X2" s="33"/>
      <c r="Y2" s="33"/>
      <c r="Z2" s="33"/>
      <c r="AA2" s="33"/>
      <c r="AB2" s="33"/>
      <c r="AC2" s="33"/>
      <c r="AD2" s="33"/>
      <c r="AE2" s="33"/>
      <c r="AF2" s="33"/>
      <c r="AG2" s="33"/>
      <c r="AH2" s="33"/>
      <c r="AI2" s="34"/>
      <c r="AJ2" s="9" t="s">
        <v>503</v>
      </c>
    </row>
    <row r="3" ht="46.5" customHeight="1">
      <c r="A3" s="41"/>
      <c r="B3" s="41"/>
      <c r="C3" s="41"/>
      <c r="D3" s="33"/>
      <c r="E3" s="41"/>
      <c r="F3" s="47"/>
      <c r="G3" s="9" t="s">
        <v>504</v>
      </c>
      <c r="H3" s="9" t="s">
        <v>495</v>
      </c>
      <c r="I3" s="9" t="s">
        <v>496</v>
      </c>
      <c r="J3" s="46"/>
      <c r="K3" s="47"/>
      <c r="L3" s="9" t="s">
        <v>505</v>
      </c>
      <c r="M3" s="48"/>
      <c r="N3" s="9" t="s">
        <v>506</v>
      </c>
      <c r="O3" s="9" t="s">
        <v>499</v>
      </c>
      <c r="P3" s="9" t="s">
        <v>507</v>
      </c>
      <c r="Q3" s="48"/>
      <c r="R3" s="9" t="s">
        <v>501</v>
      </c>
      <c r="S3" s="49">
        <v>4.0</v>
      </c>
      <c r="T3" s="9" t="s">
        <v>508</v>
      </c>
      <c r="U3" s="48"/>
      <c r="V3" s="9" t="s">
        <v>86</v>
      </c>
      <c r="W3" s="46"/>
      <c r="X3" s="41"/>
      <c r="Y3" s="41"/>
      <c r="Z3" s="41"/>
      <c r="AA3" s="41"/>
      <c r="AB3" s="41"/>
      <c r="AC3" s="41"/>
      <c r="AD3" s="41"/>
      <c r="AE3" s="41"/>
      <c r="AF3" s="41"/>
      <c r="AG3" s="41"/>
      <c r="AH3" s="41"/>
      <c r="AI3" s="47"/>
      <c r="AJ3" s="9" t="s">
        <v>509</v>
      </c>
    </row>
    <row r="4" ht="46.5" customHeight="1">
      <c r="A4" s="41"/>
      <c r="B4" s="41"/>
      <c r="C4" s="41"/>
      <c r="D4" s="41"/>
      <c r="E4" s="41"/>
      <c r="F4" s="47"/>
      <c r="G4" s="9" t="s">
        <v>510</v>
      </c>
      <c r="H4" s="9" t="s">
        <v>495</v>
      </c>
      <c r="I4" s="9" t="s">
        <v>496</v>
      </c>
      <c r="J4" s="46"/>
      <c r="K4" s="47"/>
      <c r="L4" s="9" t="s">
        <v>511</v>
      </c>
      <c r="M4" s="48"/>
      <c r="N4" s="9" t="s">
        <v>512</v>
      </c>
      <c r="O4" s="9" t="s">
        <v>499</v>
      </c>
      <c r="P4" s="9" t="s">
        <v>513</v>
      </c>
      <c r="Q4" s="48"/>
      <c r="R4" s="9" t="s">
        <v>501</v>
      </c>
      <c r="S4" s="49">
        <v>4.0</v>
      </c>
      <c r="T4" s="9" t="s">
        <v>514</v>
      </c>
      <c r="U4" s="48"/>
      <c r="V4" s="9" t="s">
        <v>86</v>
      </c>
      <c r="W4" s="46"/>
      <c r="X4" s="41"/>
      <c r="Y4" s="41"/>
      <c r="Z4" s="41"/>
      <c r="AA4" s="41"/>
      <c r="AB4" s="41"/>
      <c r="AC4" s="41"/>
      <c r="AD4" s="41"/>
      <c r="AE4" s="41"/>
      <c r="AF4" s="41"/>
      <c r="AG4" s="41"/>
      <c r="AH4" s="41"/>
      <c r="AI4" s="47"/>
      <c r="AJ4" s="9" t="s">
        <v>515</v>
      </c>
    </row>
    <row r="5" ht="35.25" customHeight="1">
      <c r="A5" s="41"/>
      <c r="B5" s="41"/>
      <c r="C5" s="41"/>
      <c r="D5" s="41"/>
      <c r="E5" s="41"/>
      <c r="F5" s="47"/>
      <c r="G5" s="9" t="s">
        <v>516</v>
      </c>
      <c r="H5" s="9" t="s">
        <v>495</v>
      </c>
      <c r="I5" s="9" t="s">
        <v>496</v>
      </c>
      <c r="J5" s="46"/>
      <c r="K5" s="47"/>
      <c r="L5" s="9" t="s">
        <v>517</v>
      </c>
      <c r="M5" s="48"/>
      <c r="N5" s="9" t="s">
        <v>518</v>
      </c>
      <c r="O5" s="9" t="s">
        <v>499</v>
      </c>
      <c r="P5" s="9" t="s">
        <v>519</v>
      </c>
      <c r="Q5" s="48"/>
      <c r="R5" s="9" t="s">
        <v>501</v>
      </c>
      <c r="S5" s="49">
        <v>4.0</v>
      </c>
      <c r="T5" s="9" t="s">
        <v>520</v>
      </c>
      <c r="U5" s="48"/>
      <c r="V5" s="9" t="s">
        <v>86</v>
      </c>
      <c r="W5" s="46"/>
      <c r="X5" s="41"/>
      <c r="Y5" s="41"/>
      <c r="Z5" s="41"/>
      <c r="AA5" s="41"/>
      <c r="AB5" s="41"/>
      <c r="AC5" s="41"/>
      <c r="AD5" s="41"/>
      <c r="AE5" s="41"/>
      <c r="AF5" s="41"/>
      <c r="AG5" s="41"/>
      <c r="AH5" s="41"/>
      <c r="AI5" s="47"/>
      <c r="AJ5" s="9" t="s">
        <v>521</v>
      </c>
    </row>
    <row r="6" ht="46.5" customHeight="1">
      <c r="A6" s="41"/>
      <c r="B6" s="41"/>
      <c r="C6" s="41"/>
      <c r="D6" s="41"/>
      <c r="E6" s="41"/>
      <c r="F6" s="47"/>
      <c r="G6" s="9" t="s">
        <v>522</v>
      </c>
      <c r="H6" s="9" t="s">
        <v>495</v>
      </c>
      <c r="I6" s="9" t="s">
        <v>496</v>
      </c>
      <c r="J6" s="46"/>
      <c r="K6" s="47"/>
      <c r="L6" s="9" t="s">
        <v>523</v>
      </c>
      <c r="M6" s="48"/>
      <c r="N6" s="9" t="s">
        <v>524</v>
      </c>
      <c r="O6" s="9" t="s">
        <v>499</v>
      </c>
      <c r="P6" s="9" t="s">
        <v>525</v>
      </c>
      <c r="Q6" s="48"/>
      <c r="R6" s="9" t="s">
        <v>501</v>
      </c>
      <c r="S6" s="49">
        <v>4.0</v>
      </c>
      <c r="T6" s="9" t="s">
        <v>526</v>
      </c>
      <c r="U6" s="48"/>
      <c r="V6" s="9" t="s">
        <v>86</v>
      </c>
      <c r="W6" s="46"/>
      <c r="X6" s="41"/>
      <c r="Y6" s="41"/>
      <c r="Z6" s="41"/>
      <c r="AA6" s="41"/>
      <c r="AB6" s="41"/>
      <c r="AC6" s="41"/>
      <c r="AD6" s="41"/>
      <c r="AE6" s="41"/>
      <c r="AF6" s="41"/>
      <c r="AG6" s="41"/>
      <c r="AH6" s="41"/>
      <c r="AI6" s="47"/>
      <c r="AJ6" s="9" t="s">
        <v>527</v>
      </c>
    </row>
    <row r="7" ht="57.0" customHeight="1">
      <c r="A7" s="41"/>
      <c r="B7" s="41"/>
      <c r="C7" s="41"/>
      <c r="D7" s="41"/>
      <c r="E7" s="41"/>
      <c r="F7" s="47"/>
      <c r="G7" s="9" t="s">
        <v>528</v>
      </c>
      <c r="H7" s="9" t="s">
        <v>495</v>
      </c>
      <c r="I7" s="9" t="s">
        <v>496</v>
      </c>
      <c r="J7" s="46"/>
      <c r="K7" s="47"/>
      <c r="L7" s="9" t="s">
        <v>529</v>
      </c>
      <c r="M7" s="48"/>
      <c r="N7" s="9" t="s">
        <v>530</v>
      </c>
      <c r="O7" s="9" t="s">
        <v>499</v>
      </c>
      <c r="P7" s="9" t="s">
        <v>525</v>
      </c>
      <c r="Q7" s="48"/>
      <c r="R7" s="9" t="s">
        <v>501</v>
      </c>
      <c r="S7" s="31">
        <v>3.0</v>
      </c>
      <c r="T7" s="9" t="s">
        <v>531</v>
      </c>
      <c r="U7" s="48"/>
      <c r="V7" s="9" t="s">
        <v>86</v>
      </c>
      <c r="W7" s="46"/>
      <c r="X7" s="41"/>
      <c r="Y7" s="41"/>
      <c r="Z7" s="41"/>
      <c r="AA7" s="41"/>
      <c r="AB7" s="41"/>
      <c r="AC7" s="41"/>
      <c r="AD7" s="41"/>
      <c r="AE7" s="41"/>
      <c r="AF7" s="41"/>
      <c r="AG7" s="41"/>
      <c r="AH7" s="41"/>
      <c r="AI7" s="47"/>
      <c r="AJ7" s="9" t="s">
        <v>532</v>
      </c>
    </row>
    <row r="8" ht="35.25" customHeight="1">
      <c r="A8" s="41"/>
      <c r="B8" s="41"/>
      <c r="C8" s="41"/>
      <c r="D8" s="53"/>
      <c r="E8" s="53"/>
      <c r="F8" s="47"/>
      <c r="G8" s="9" t="s">
        <v>533</v>
      </c>
      <c r="H8" s="9" t="s">
        <v>495</v>
      </c>
      <c r="I8" s="9" t="s">
        <v>496</v>
      </c>
      <c r="J8" s="46"/>
      <c r="K8" s="47"/>
      <c r="L8" s="9" t="s">
        <v>534</v>
      </c>
      <c r="M8" s="48"/>
      <c r="N8" s="9" t="s">
        <v>535</v>
      </c>
      <c r="O8" s="9" t="s">
        <v>298</v>
      </c>
      <c r="P8" s="9" t="s">
        <v>536</v>
      </c>
      <c r="Q8" s="48"/>
      <c r="R8" s="9" t="s">
        <v>501</v>
      </c>
      <c r="S8" s="31">
        <v>3.0</v>
      </c>
      <c r="T8" s="9" t="s">
        <v>537</v>
      </c>
      <c r="U8" s="48"/>
      <c r="V8" s="9" t="s">
        <v>86</v>
      </c>
      <c r="W8" s="46"/>
      <c r="X8" s="41"/>
      <c r="Y8" s="41"/>
      <c r="Z8" s="41"/>
      <c r="AA8" s="41"/>
      <c r="AB8" s="41"/>
      <c r="AC8" s="41"/>
      <c r="AD8" s="41"/>
      <c r="AE8" s="41"/>
      <c r="AF8" s="41"/>
      <c r="AG8" s="41"/>
      <c r="AH8" s="41"/>
      <c r="AI8" s="47"/>
      <c r="AJ8" s="9" t="s">
        <v>538</v>
      </c>
    </row>
    <row r="9" ht="68.25" customHeight="1">
      <c r="A9" s="41"/>
      <c r="B9" s="41"/>
      <c r="C9" s="47"/>
      <c r="D9" s="9" t="s">
        <v>539</v>
      </c>
      <c r="E9" s="9" t="s">
        <v>540</v>
      </c>
      <c r="F9" s="48"/>
      <c r="G9" s="9" t="s">
        <v>541</v>
      </c>
      <c r="H9" s="9" t="s">
        <v>495</v>
      </c>
      <c r="I9" s="9" t="s">
        <v>496</v>
      </c>
      <c r="J9" s="46"/>
      <c r="K9" s="47"/>
      <c r="L9" s="9" t="s">
        <v>542</v>
      </c>
      <c r="M9" s="72"/>
      <c r="N9" s="9" t="s">
        <v>543</v>
      </c>
      <c r="O9" s="9" t="s">
        <v>298</v>
      </c>
      <c r="P9" s="9" t="s">
        <v>544</v>
      </c>
      <c r="Q9" s="48"/>
      <c r="R9" s="9" t="s">
        <v>501</v>
      </c>
      <c r="S9" s="31">
        <v>3.0</v>
      </c>
      <c r="T9" s="9" t="s">
        <v>545</v>
      </c>
      <c r="U9" s="48"/>
      <c r="V9" s="9" t="s">
        <v>86</v>
      </c>
      <c r="W9" s="46"/>
      <c r="X9" s="41"/>
      <c r="Y9" s="41"/>
      <c r="Z9" s="41"/>
      <c r="AA9" s="41"/>
      <c r="AB9" s="41"/>
      <c r="AC9" s="41"/>
      <c r="AD9" s="41"/>
      <c r="AE9" s="41"/>
      <c r="AF9" s="41"/>
      <c r="AG9" s="41"/>
      <c r="AH9" s="41"/>
      <c r="AI9" s="47"/>
      <c r="AJ9" s="9" t="s">
        <v>546</v>
      </c>
    </row>
    <row r="10" ht="57.0" customHeight="1">
      <c r="A10" s="41"/>
      <c r="B10" s="41"/>
      <c r="C10" s="41"/>
      <c r="D10" s="33"/>
      <c r="E10" s="33"/>
      <c r="F10" s="47"/>
      <c r="G10" s="9" t="s">
        <v>547</v>
      </c>
      <c r="H10" s="9" t="s">
        <v>495</v>
      </c>
      <c r="I10" s="9" t="s">
        <v>496</v>
      </c>
      <c r="J10" s="46"/>
      <c r="K10" s="47"/>
      <c r="L10" s="9" t="s">
        <v>548</v>
      </c>
      <c r="M10" s="9" t="s">
        <v>549</v>
      </c>
      <c r="N10" s="9" t="s">
        <v>550</v>
      </c>
      <c r="O10" s="9" t="s">
        <v>298</v>
      </c>
      <c r="P10" s="9" t="s">
        <v>507</v>
      </c>
      <c r="Q10" s="48"/>
      <c r="R10" s="9" t="s">
        <v>501</v>
      </c>
      <c r="S10" s="31">
        <v>3.0</v>
      </c>
      <c r="T10" s="9" t="s">
        <v>551</v>
      </c>
      <c r="U10" s="48"/>
      <c r="V10" s="9" t="s">
        <v>86</v>
      </c>
      <c r="W10" s="46"/>
      <c r="X10" s="41"/>
      <c r="Y10" s="41"/>
      <c r="Z10" s="41"/>
      <c r="AA10" s="41"/>
      <c r="AB10" s="41"/>
      <c r="AC10" s="41"/>
      <c r="AD10" s="41"/>
      <c r="AE10" s="41"/>
      <c r="AF10" s="41"/>
      <c r="AG10" s="41"/>
      <c r="AH10" s="41"/>
      <c r="AI10" s="47"/>
      <c r="AJ10" s="9" t="s">
        <v>552</v>
      </c>
    </row>
    <row r="11" ht="24.0" customHeight="1">
      <c r="A11" s="41"/>
      <c r="B11" s="41"/>
      <c r="C11" s="41"/>
      <c r="D11" s="41"/>
      <c r="E11" s="41"/>
      <c r="F11" s="47"/>
      <c r="G11" s="9" t="s">
        <v>553</v>
      </c>
      <c r="H11" s="9" t="s">
        <v>495</v>
      </c>
      <c r="I11" s="9" t="s">
        <v>496</v>
      </c>
      <c r="J11" s="46"/>
      <c r="K11" s="47"/>
      <c r="L11" s="9" t="s">
        <v>554</v>
      </c>
      <c r="M11" s="37"/>
      <c r="N11" s="9" t="s">
        <v>555</v>
      </c>
      <c r="O11" s="9" t="s">
        <v>298</v>
      </c>
      <c r="P11" s="9" t="s">
        <v>556</v>
      </c>
      <c r="Q11" s="48"/>
      <c r="R11" s="9" t="s">
        <v>501</v>
      </c>
      <c r="S11" s="30">
        <v>2.0</v>
      </c>
      <c r="T11" s="9" t="s">
        <v>557</v>
      </c>
      <c r="U11" s="48"/>
      <c r="V11" s="9" t="s">
        <v>86</v>
      </c>
      <c r="W11" s="46"/>
      <c r="X11" s="41"/>
      <c r="Y11" s="41"/>
      <c r="Z11" s="41"/>
      <c r="AA11" s="41"/>
      <c r="AB11" s="41"/>
      <c r="AC11" s="41"/>
      <c r="AD11" s="41"/>
      <c r="AE11" s="41"/>
      <c r="AF11" s="41"/>
      <c r="AG11" s="41"/>
      <c r="AH11" s="41"/>
      <c r="AI11" s="47"/>
      <c r="AJ11" s="9" t="s">
        <v>558</v>
      </c>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row>
  </sheetData>
  <printOptions/>
  <pageMargins bottom="1.0" footer="0.0" header="0.0" left="0.75" right="0.75"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66" t="s">
        <v>16</v>
      </c>
      <c r="B1" s="66" t="s">
        <v>17</v>
      </c>
      <c r="C1" s="66" t="s">
        <v>18</v>
      </c>
      <c r="D1" s="66" t="s">
        <v>19</v>
      </c>
      <c r="E1" s="66" t="s">
        <v>20</v>
      </c>
      <c r="F1" s="66" t="s">
        <v>21</v>
      </c>
      <c r="G1" s="66" t="s">
        <v>22</v>
      </c>
      <c r="H1" s="66" t="s">
        <v>23</v>
      </c>
      <c r="I1" s="66" t="s">
        <v>24</v>
      </c>
      <c r="J1" s="66" t="s">
        <v>25</v>
      </c>
      <c r="K1" s="66" t="s">
        <v>26</v>
      </c>
      <c r="L1" s="66" t="s">
        <v>27</v>
      </c>
      <c r="M1" s="66" t="s">
        <v>28</v>
      </c>
      <c r="N1" s="66" t="s">
        <v>391</v>
      </c>
      <c r="O1" s="66" t="s">
        <v>30</v>
      </c>
      <c r="P1" s="66" t="s">
        <v>31</v>
      </c>
      <c r="Q1" s="66" t="s">
        <v>32</v>
      </c>
      <c r="R1" s="66" t="s">
        <v>33</v>
      </c>
      <c r="S1" s="66" t="s">
        <v>34</v>
      </c>
      <c r="T1" s="66" t="s">
        <v>35</v>
      </c>
      <c r="U1" s="66" t="s">
        <v>36</v>
      </c>
      <c r="V1" s="66" t="s">
        <v>392</v>
      </c>
      <c r="W1" s="66" t="s">
        <v>37</v>
      </c>
      <c r="X1" s="66" t="s">
        <v>393</v>
      </c>
      <c r="Y1" s="66" t="s">
        <v>39</v>
      </c>
      <c r="Z1" s="66" t="s">
        <v>41</v>
      </c>
      <c r="AA1" s="66" t="s">
        <v>42</v>
      </c>
      <c r="AB1" s="66" t="s">
        <v>43</v>
      </c>
      <c r="AC1" s="66" t="s">
        <v>44</v>
      </c>
      <c r="AD1" s="66" t="s">
        <v>45</v>
      </c>
      <c r="AE1" s="66" t="s">
        <v>46</v>
      </c>
      <c r="AF1" s="66" t="s">
        <v>47</v>
      </c>
      <c r="AG1" s="66" t="s">
        <v>48</v>
      </c>
      <c r="AH1" s="66" t="s">
        <v>49</v>
      </c>
      <c r="AI1" s="66" t="s">
        <v>50</v>
      </c>
      <c r="AJ1" s="66" t="s">
        <v>51</v>
      </c>
    </row>
    <row r="2" ht="79.5" customHeight="1">
      <c r="A2" s="33"/>
      <c r="B2" s="33"/>
      <c r="C2" s="33"/>
      <c r="D2" s="33"/>
      <c r="E2" s="33"/>
      <c r="F2" s="34"/>
      <c r="G2" s="9" t="s">
        <v>559</v>
      </c>
      <c r="H2" s="9" t="s">
        <v>560</v>
      </c>
      <c r="I2" s="9" t="s">
        <v>561</v>
      </c>
      <c r="J2" s="36"/>
      <c r="K2" s="34"/>
      <c r="L2" s="9" t="s">
        <v>562</v>
      </c>
      <c r="M2" s="37"/>
      <c r="N2" s="9" t="s">
        <v>563</v>
      </c>
      <c r="O2" s="9" t="s">
        <v>499</v>
      </c>
      <c r="P2" s="9" t="s">
        <v>313</v>
      </c>
      <c r="Q2" s="37"/>
      <c r="R2" s="9" t="s">
        <v>10</v>
      </c>
      <c r="S2" s="49">
        <v>4.0</v>
      </c>
      <c r="T2" s="9" t="s">
        <v>564</v>
      </c>
      <c r="U2" s="37"/>
      <c r="V2" s="9" t="s">
        <v>86</v>
      </c>
      <c r="W2" s="36"/>
      <c r="X2" s="33"/>
      <c r="Y2" s="33"/>
      <c r="Z2" s="33"/>
      <c r="AA2" s="33"/>
      <c r="AB2" s="33"/>
      <c r="AC2" s="33"/>
      <c r="AD2" s="33"/>
      <c r="AE2" s="33"/>
      <c r="AF2" s="33"/>
      <c r="AG2" s="33"/>
      <c r="AH2" s="33"/>
      <c r="AI2" s="34"/>
      <c r="AJ2" s="9" t="s">
        <v>565</v>
      </c>
    </row>
    <row r="3" ht="68.25" customHeight="1">
      <c r="A3" s="41"/>
      <c r="B3" s="41"/>
      <c r="C3" s="41"/>
      <c r="D3" s="41"/>
      <c r="E3" s="41"/>
      <c r="F3" s="47"/>
      <c r="G3" s="9" t="s">
        <v>566</v>
      </c>
      <c r="H3" s="9" t="s">
        <v>10</v>
      </c>
      <c r="I3" s="9" t="s">
        <v>561</v>
      </c>
      <c r="J3" s="46"/>
      <c r="K3" s="47"/>
      <c r="L3" s="9" t="s">
        <v>567</v>
      </c>
      <c r="M3" s="48"/>
      <c r="N3" s="9" t="s">
        <v>568</v>
      </c>
      <c r="O3" s="9" t="s">
        <v>499</v>
      </c>
      <c r="P3" s="9" t="s">
        <v>256</v>
      </c>
      <c r="Q3" s="48"/>
      <c r="R3" s="9" t="s">
        <v>10</v>
      </c>
      <c r="S3" s="49">
        <v>4.0</v>
      </c>
      <c r="T3" s="9" t="s">
        <v>569</v>
      </c>
      <c r="U3" s="48"/>
      <c r="V3" s="9" t="s">
        <v>86</v>
      </c>
      <c r="W3" s="46"/>
      <c r="X3" s="41"/>
      <c r="Y3" s="41"/>
      <c r="Z3" s="41"/>
      <c r="AA3" s="41"/>
      <c r="AB3" s="41"/>
      <c r="AC3" s="41"/>
      <c r="AD3" s="41"/>
      <c r="AE3" s="41"/>
      <c r="AF3" s="41"/>
      <c r="AG3" s="41"/>
      <c r="AH3" s="41"/>
      <c r="AI3" s="47"/>
      <c r="AJ3" s="9" t="s">
        <v>570</v>
      </c>
    </row>
    <row r="4" ht="46.5" customHeight="1">
      <c r="A4" s="41"/>
      <c r="B4" s="41"/>
      <c r="C4" s="41"/>
      <c r="D4" s="41"/>
      <c r="E4" s="41"/>
      <c r="F4" s="47"/>
      <c r="G4" s="9" t="s">
        <v>571</v>
      </c>
      <c r="H4" s="9" t="s">
        <v>10</v>
      </c>
      <c r="I4" s="9" t="s">
        <v>561</v>
      </c>
      <c r="J4" s="46"/>
      <c r="K4" s="47"/>
      <c r="L4" s="9" t="s">
        <v>572</v>
      </c>
      <c r="M4" s="48"/>
      <c r="N4" s="9" t="s">
        <v>573</v>
      </c>
      <c r="O4" s="9" t="s">
        <v>499</v>
      </c>
      <c r="P4" s="9" t="s">
        <v>288</v>
      </c>
      <c r="Q4" s="48"/>
      <c r="R4" s="9" t="s">
        <v>10</v>
      </c>
      <c r="S4" s="31">
        <v>3.0</v>
      </c>
      <c r="T4" s="9" t="s">
        <v>574</v>
      </c>
      <c r="U4" s="48"/>
      <c r="V4" s="9" t="s">
        <v>86</v>
      </c>
      <c r="W4" s="46"/>
      <c r="X4" s="41"/>
      <c r="Y4" s="41"/>
      <c r="Z4" s="41"/>
      <c r="AA4" s="41"/>
      <c r="AB4" s="41"/>
      <c r="AC4" s="41"/>
      <c r="AD4" s="41"/>
      <c r="AE4" s="41"/>
      <c r="AF4" s="41"/>
      <c r="AG4" s="41"/>
      <c r="AH4" s="41"/>
      <c r="AI4" s="47"/>
      <c r="AJ4" s="9" t="s">
        <v>575</v>
      </c>
    </row>
    <row r="5" ht="57.0" customHeight="1">
      <c r="A5" s="41"/>
      <c r="B5" s="41"/>
      <c r="C5" s="41"/>
      <c r="D5" s="41"/>
      <c r="E5" s="41"/>
      <c r="F5" s="47"/>
      <c r="G5" s="9" t="s">
        <v>576</v>
      </c>
      <c r="H5" s="9" t="s">
        <v>10</v>
      </c>
      <c r="I5" s="9" t="s">
        <v>561</v>
      </c>
      <c r="J5" s="46"/>
      <c r="K5" s="47"/>
      <c r="L5" s="9" t="s">
        <v>577</v>
      </c>
      <c r="M5" s="48"/>
      <c r="N5" s="9" t="s">
        <v>578</v>
      </c>
      <c r="O5" s="9" t="s">
        <v>298</v>
      </c>
      <c r="P5" s="9" t="s">
        <v>299</v>
      </c>
      <c r="Q5" s="48"/>
      <c r="R5" s="9" t="s">
        <v>10</v>
      </c>
      <c r="S5" s="31">
        <v>3.0</v>
      </c>
      <c r="T5" s="9" t="s">
        <v>579</v>
      </c>
      <c r="U5" s="48"/>
      <c r="V5" s="9" t="s">
        <v>86</v>
      </c>
      <c r="W5" s="46"/>
      <c r="X5" s="41"/>
      <c r="Y5" s="41"/>
      <c r="Z5" s="41"/>
      <c r="AA5" s="41"/>
      <c r="AB5" s="41"/>
      <c r="AC5" s="41"/>
      <c r="AD5" s="41"/>
      <c r="AE5" s="41"/>
      <c r="AF5" s="41"/>
      <c r="AG5" s="41"/>
      <c r="AH5" s="41"/>
      <c r="AI5" s="47"/>
      <c r="AJ5" s="9" t="s">
        <v>580</v>
      </c>
    </row>
    <row r="6" ht="46.5" customHeight="1">
      <c r="A6" s="41"/>
      <c r="B6" s="41"/>
      <c r="C6" s="41"/>
      <c r="D6" s="41"/>
      <c r="E6" s="41"/>
      <c r="F6" s="47"/>
      <c r="G6" s="9" t="s">
        <v>581</v>
      </c>
      <c r="H6" s="9" t="s">
        <v>10</v>
      </c>
      <c r="I6" s="9" t="s">
        <v>561</v>
      </c>
      <c r="J6" s="46"/>
      <c r="K6" s="47"/>
      <c r="L6" s="9" t="s">
        <v>582</v>
      </c>
      <c r="M6" s="48"/>
      <c r="N6" s="9" t="s">
        <v>583</v>
      </c>
      <c r="O6" s="9" t="s">
        <v>298</v>
      </c>
      <c r="P6" s="9" t="s">
        <v>268</v>
      </c>
      <c r="Q6" s="48"/>
      <c r="R6" s="9" t="s">
        <v>10</v>
      </c>
      <c r="S6" s="30">
        <v>2.0</v>
      </c>
      <c r="T6" s="9" t="s">
        <v>584</v>
      </c>
      <c r="U6" s="48"/>
      <c r="V6" s="9" t="s">
        <v>86</v>
      </c>
      <c r="W6" s="46"/>
      <c r="X6" s="41"/>
      <c r="Y6" s="41"/>
      <c r="Z6" s="41"/>
      <c r="AA6" s="41"/>
      <c r="AB6" s="41"/>
      <c r="AC6" s="41"/>
      <c r="AD6" s="41"/>
      <c r="AE6" s="41"/>
      <c r="AF6" s="41"/>
      <c r="AG6" s="41"/>
      <c r="AH6" s="41"/>
      <c r="AI6" s="47"/>
      <c r="AJ6" s="9" t="s">
        <v>585</v>
      </c>
    </row>
    <row r="7" ht="35.25" customHeight="1">
      <c r="A7" s="41"/>
      <c r="B7" s="41"/>
      <c r="C7" s="41"/>
      <c r="D7" s="41"/>
      <c r="E7" s="41"/>
      <c r="F7" s="47"/>
      <c r="G7" s="9" t="s">
        <v>586</v>
      </c>
      <c r="H7" s="9" t="s">
        <v>10</v>
      </c>
      <c r="I7" s="9" t="s">
        <v>561</v>
      </c>
      <c r="J7" s="46"/>
      <c r="K7" s="47"/>
      <c r="L7" s="9" t="s">
        <v>587</v>
      </c>
      <c r="M7" s="48"/>
      <c r="N7" s="9" t="s">
        <v>588</v>
      </c>
      <c r="O7" s="9" t="s">
        <v>298</v>
      </c>
      <c r="P7" s="9" t="s">
        <v>268</v>
      </c>
      <c r="Q7" s="48"/>
      <c r="R7" s="9" t="s">
        <v>10</v>
      </c>
      <c r="S7" s="30">
        <v>2.0</v>
      </c>
      <c r="T7" s="9" t="s">
        <v>589</v>
      </c>
      <c r="U7" s="48"/>
      <c r="V7" s="9" t="s">
        <v>86</v>
      </c>
      <c r="W7" s="46"/>
      <c r="X7" s="41"/>
      <c r="Y7" s="41"/>
      <c r="Z7" s="41"/>
      <c r="AA7" s="41"/>
      <c r="AB7" s="41"/>
      <c r="AC7" s="41"/>
      <c r="AD7" s="41"/>
      <c r="AE7" s="41"/>
      <c r="AF7" s="41"/>
      <c r="AG7" s="41"/>
      <c r="AH7" s="41"/>
      <c r="AI7" s="47"/>
      <c r="AJ7" s="9" t="s">
        <v>590</v>
      </c>
    </row>
    <row r="8" ht="35.25" customHeight="1">
      <c r="A8" s="41"/>
      <c r="B8" s="41"/>
      <c r="C8" s="41"/>
      <c r="D8" s="41"/>
      <c r="E8" s="41"/>
      <c r="F8" s="47"/>
      <c r="G8" s="9" t="s">
        <v>591</v>
      </c>
      <c r="H8" s="9" t="s">
        <v>10</v>
      </c>
      <c r="I8" s="9" t="s">
        <v>561</v>
      </c>
      <c r="J8" s="46"/>
      <c r="K8" s="47"/>
      <c r="L8" s="9" t="s">
        <v>592</v>
      </c>
      <c r="M8" s="48"/>
      <c r="N8" s="9" t="s">
        <v>593</v>
      </c>
      <c r="O8" s="9" t="s">
        <v>298</v>
      </c>
      <c r="P8" s="9" t="s">
        <v>324</v>
      </c>
      <c r="Q8" s="48"/>
      <c r="R8" s="9" t="s">
        <v>10</v>
      </c>
      <c r="S8" s="30">
        <v>2.0</v>
      </c>
      <c r="T8" s="9" t="s">
        <v>594</v>
      </c>
      <c r="U8" s="48"/>
      <c r="V8" s="9" t="s">
        <v>86</v>
      </c>
      <c r="W8" s="46"/>
      <c r="X8" s="41"/>
      <c r="Y8" s="41"/>
      <c r="Z8" s="41"/>
      <c r="AA8" s="41"/>
      <c r="AB8" s="41"/>
      <c r="AC8" s="41"/>
      <c r="AD8" s="41"/>
      <c r="AE8" s="41"/>
      <c r="AF8" s="41"/>
      <c r="AG8" s="41"/>
      <c r="AH8" s="41"/>
      <c r="AI8" s="47"/>
      <c r="AJ8" s="9" t="s">
        <v>595</v>
      </c>
    </row>
    <row r="9" ht="35.25" customHeight="1">
      <c r="A9" s="41"/>
      <c r="B9" s="41"/>
      <c r="C9" s="41"/>
      <c r="D9" s="41"/>
      <c r="E9" s="41"/>
      <c r="F9" s="47"/>
      <c r="G9" s="9" t="s">
        <v>596</v>
      </c>
      <c r="H9" s="9" t="s">
        <v>10</v>
      </c>
      <c r="I9" s="9" t="s">
        <v>561</v>
      </c>
      <c r="J9" s="46"/>
      <c r="K9" s="41"/>
      <c r="L9" s="33"/>
      <c r="M9" s="47"/>
      <c r="N9" s="9" t="s">
        <v>597</v>
      </c>
      <c r="O9" s="9" t="s">
        <v>434</v>
      </c>
      <c r="P9" s="9" t="s">
        <v>299</v>
      </c>
      <c r="Q9" s="48"/>
      <c r="R9" s="9" t="s">
        <v>10</v>
      </c>
      <c r="S9" s="30">
        <v>2.0</v>
      </c>
      <c r="T9" s="9" t="s">
        <v>598</v>
      </c>
      <c r="U9" s="48"/>
      <c r="V9" s="9" t="s">
        <v>86</v>
      </c>
      <c r="W9" s="46"/>
      <c r="X9" s="41"/>
      <c r="Y9" s="41"/>
      <c r="Z9" s="41"/>
      <c r="AA9" s="41"/>
      <c r="AB9" s="41"/>
      <c r="AC9" s="41"/>
      <c r="AD9" s="41"/>
      <c r="AE9" s="41"/>
      <c r="AF9" s="41"/>
      <c r="AG9" s="41"/>
      <c r="AH9" s="41"/>
      <c r="AI9" s="47"/>
      <c r="AJ9" s="9" t="s">
        <v>599</v>
      </c>
    </row>
    <row r="10" ht="13.5" customHeight="1">
      <c r="A10" s="41"/>
      <c r="B10" s="41"/>
      <c r="C10" s="41"/>
      <c r="D10" s="41"/>
      <c r="E10" s="41"/>
      <c r="F10" s="41"/>
      <c r="G10" s="33"/>
      <c r="H10" s="33"/>
      <c r="I10" s="33"/>
      <c r="J10" s="41"/>
      <c r="K10" s="41"/>
      <c r="L10" s="41"/>
      <c r="M10" s="41"/>
      <c r="N10" s="33"/>
      <c r="O10" s="33"/>
      <c r="P10" s="33"/>
      <c r="Q10" s="41"/>
      <c r="R10" s="33"/>
      <c r="S10" s="33"/>
      <c r="T10" s="33"/>
      <c r="U10" s="41"/>
      <c r="V10" s="33"/>
      <c r="W10" s="41"/>
      <c r="X10" s="41"/>
      <c r="Y10" s="41"/>
      <c r="Z10" s="41"/>
      <c r="AA10" s="41"/>
      <c r="AB10" s="41"/>
      <c r="AC10" s="41"/>
      <c r="AD10" s="41"/>
      <c r="AE10" s="41"/>
      <c r="AF10" s="41"/>
      <c r="AG10" s="41"/>
      <c r="AH10" s="41"/>
      <c r="AI10" s="41"/>
      <c r="AJ10" s="33"/>
    </row>
    <row r="1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row>
  </sheetData>
  <printOptions/>
  <pageMargins bottom="1.0" footer="0.0" header="0.0" left="0.75" right="0.75" top="1.0"/>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66" t="s">
        <v>16</v>
      </c>
      <c r="B1" s="66" t="s">
        <v>17</v>
      </c>
      <c r="C1" s="66" t="s">
        <v>18</v>
      </c>
      <c r="D1" s="66" t="s">
        <v>19</v>
      </c>
      <c r="E1" s="66" t="s">
        <v>20</v>
      </c>
      <c r="F1" s="66" t="s">
        <v>21</v>
      </c>
      <c r="G1" s="66" t="s">
        <v>22</v>
      </c>
      <c r="H1" s="66" t="s">
        <v>23</v>
      </c>
      <c r="I1" s="66" t="s">
        <v>24</v>
      </c>
      <c r="J1" s="66" t="s">
        <v>25</v>
      </c>
      <c r="K1" s="66" t="s">
        <v>26</v>
      </c>
      <c r="L1" s="66" t="s">
        <v>27</v>
      </c>
      <c r="M1" s="66" t="s">
        <v>28</v>
      </c>
      <c r="N1" s="66" t="s">
        <v>391</v>
      </c>
      <c r="O1" s="66" t="s">
        <v>30</v>
      </c>
      <c r="P1" s="66" t="s">
        <v>31</v>
      </c>
      <c r="Q1" s="66" t="s">
        <v>32</v>
      </c>
      <c r="R1" s="66" t="s">
        <v>33</v>
      </c>
      <c r="S1" s="66" t="s">
        <v>34</v>
      </c>
      <c r="T1" s="66" t="s">
        <v>35</v>
      </c>
      <c r="U1" s="66" t="s">
        <v>36</v>
      </c>
      <c r="V1" s="66" t="s">
        <v>392</v>
      </c>
      <c r="W1" s="66" t="s">
        <v>37</v>
      </c>
      <c r="X1" s="66" t="s">
        <v>393</v>
      </c>
      <c r="Y1" s="66" t="s">
        <v>39</v>
      </c>
      <c r="Z1" s="66" t="s">
        <v>41</v>
      </c>
      <c r="AA1" s="66" t="s">
        <v>42</v>
      </c>
      <c r="AB1" s="66" t="s">
        <v>43</v>
      </c>
      <c r="AC1" s="66" t="s">
        <v>44</v>
      </c>
      <c r="AD1" s="66" t="s">
        <v>45</v>
      </c>
      <c r="AE1" s="66" t="s">
        <v>46</v>
      </c>
      <c r="AF1" s="66" t="s">
        <v>47</v>
      </c>
      <c r="AG1" s="66" t="s">
        <v>48</v>
      </c>
      <c r="AH1" s="66" t="s">
        <v>49</v>
      </c>
      <c r="AI1" s="66" t="s">
        <v>50</v>
      </c>
      <c r="AJ1" s="66" t="s">
        <v>51</v>
      </c>
    </row>
    <row r="2" ht="35.25" customHeight="1">
      <c r="A2" s="33"/>
      <c r="B2" s="33"/>
      <c r="C2" s="33"/>
      <c r="D2" s="33"/>
      <c r="E2" s="33"/>
      <c r="F2" s="34"/>
      <c r="G2" s="9" t="s">
        <v>600</v>
      </c>
      <c r="H2" s="9" t="s">
        <v>601</v>
      </c>
      <c r="I2" s="9" t="s">
        <v>602</v>
      </c>
      <c r="J2" s="36"/>
      <c r="K2" s="34"/>
      <c r="L2" s="9" t="s">
        <v>603</v>
      </c>
      <c r="M2" s="37"/>
      <c r="N2" s="9" t="s">
        <v>604</v>
      </c>
      <c r="O2" s="9" t="s">
        <v>499</v>
      </c>
      <c r="P2" s="9" t="s">
        <v>214</v>
      </c>
      <c r="Q2" s="37"/>
      <c r="R2" s="9" t="s">
        <v>11</v>
      </c>
      <c r="S2" s="71">
        <v>5.0</v>
      </c>
      <c r="T2" s="9" t="s">
        <v>605</v>
      </c>
      <c r="U2" s="37"/>
      <c r="V2" s="9" t="s">
        <v>86</v>
      </c>
      <c r="W2" s="36"/>
      <c r="X2" s="33"/>
      <c r="Y2" s="33"/>
      <c r="Z2" s="33"/>
      <c r="AA2" s="33"/>
      <c r="AB2" s="33"/>
      <c r="AC2" s="33"/>
      <c r="AD2" s="33"/>
      <c r="AE2" s="33"/>
      <c r="AF2" s="33"/>
      <c r="AG2" s="33"/>
      <c r="AH2" s="33"/>
      <c r="AI2" s="34"/>
      <c r="AJ2" s="9" t="s">
        <v>606</v>
      </c>
    </row>
    <row r="3" ht="46.5" customHeight="1">
      <c r="A3" s="41"/>
      <c r="B3" s="41"/>
      <c r="C3" s="41"/>
      <c r="D3" s="41"/>
      <c r="E3" s="41"/>
      <c r="F3" s="47"/>
      <c r="G3" s="9" t="s">
        <v>607</v>
      </c>
      <c r="H3" s="9" t="s">
        <v>601</v>
      </c>
      <c r="I3" s="9" t="s">
        <v>602</v>
      </c>
      <c r="J3" s="46"/>
      <c r="K3" s="47"/>
      <c r="L3" s="9" t="s">
        <v>608</v>
      </c>
      <c r="M3" s="48"/>
      <c r="N3" s="9" t="s">
        <v>609</v>
      </c>
      <c r="O3" s="9" t="s">
        <v>499</v>
      </c>
      <c r="P3" s="9" t="s">
        <v>256</v>
      </c>
      <c r="Q3" s="48"/>
      <c r="R3" s="9" t="s">
        <v>11</v>
      </c>
      <c r="S3" s="49">
        <v>4.0</v>
      </c>
      <c r="T3" s="9" t="s">
        <v>610</v>
      </c>
      <c r="U3" s="48"/>
      <c r="V3" s="9" t="s">
        <v>86</v>
      </c>
      <c r="W3" s="46"/>
      <c r="X3" s="41"/>
      <c r="Y3" s="41"/>
      <c r="Z3" s="41"/>
      <c r="AA3" s="41"/>
      <c r="AB3" s="41"/>
      <c r="AC3" s="41"/>
      <c r="AD3" s="41"/>
      <c r="AE3" s="41"/>
      <c r="AF3" s="41"/>
      <c r="AG3" s="41"/>
      <c r="AH3" s="41"/>
      <c r="AI3" s="47"/>
      <c r="AJ3" s="9" t="s">
        <v>611</v>
      </c>
    </row>
    <row r="4" ht="35.25" customHeight="1">
      <c r="A4" s="41"/>
      <c r="B4" s="41"/>
      <c r="C4" s="41"/>
      <c r="D4" s="41"/>
      <c r="E4" s="41"/>
      <c r="F4" s="47"/>
      <c r="G4" s="9" t="s">
        <v>612</v>
      </c>
      <c r="H4" s="9" t="s">
        <v>601</v>
      </c>
      <c r="I4" s="9" t="s">
        <v>602</v>
      </c>
      <c r="J4" s="46"/>
      <c r="K4" s="47"/>
      <c r="L4" s="9" t="s">
        <v>613</v>
      </c>
      <c r="M4" s="48"/>
      <c r="N4" s="9" t="s">
        <v>614</v>
      </c>
      <c r="O4" s="9" t="s">
        <v>499</v>
      </c>
      <c r="P4" s="9" t="s">
        <v>313</v>
      </c>
      <c r="Q4" s="48"/>
      <c r="R4" s="9" t="s">
        <v>11</v>
      </c>
      <c r="S4" s="49">
        <v>4.0</v>
      </c>
      <c r="T4" s="9" t="s">
        <v>615</v>
      </c>
      <c r="U4" s="48"/>
      <c r="V4" s="9" t="s">
        <v>86</v>
      </c>
      <c r="W4" s="46"/>
      <c r="X4" s="41"/>
      <c r="Y4" s="41"/>
      <c r="Z4" s="41"/>
      <c r="AA4" s="41"/>
      <c r="AB4" s="41"/>
      <c r="AC4" s="41"/>
      <c r="AD4" s="41"/>
      <c r="AE4" s="41"/>
      <c r="AF4" s="41"/>
      <c r="AG4" s="41"/>
      <c r="AH4" s="41"/>
      <c r="AI4" s="47"/>
      <c r="AJ4" s="9" t="s">
        <v>616</v>
      </c>
    </row>
    <row r="5" ht="46.5" customHeight="1">
      <c r="A5" s="41"/>
      <c r="B5" s="41"/>
      <c r="C5" s="41"/>
      <c r="D5" s="41"/>
      <c r="E5" s="41"/>
      <c r="F5" s="47"/>
      <c r="G5" s="9" t="s">
        <v>617</v>
      </c>
      <c r="H5" s="9" t="s">
        <v>601</v>
      </c>
      <c r="I5" s="9" t="s">
        <v>602</v>
      </c>
      <c r="J5" s="46"/>
      <c r="K5" s="47"/>
      <c r="L5" s="9" t="s">
        <v>618</v>
      </c>
      <c r="M5" s="46"/>
      <c r="N5" s="68"/>
      <c r="O5" s="9" t="s">
        <v>298</v>
      </c>
      <c r="P5" s="9" t="s">
        <v>299</v>
      </c>
      <c r="Q5" s="48"/>
      <c r="R5" s="9" t="s">
        <v>11</v>
      </c>
      <c r="S5" s="31">
        <v>3.0</v>
      </c>
      <c r="T5" s="9" t="s">
        <v>619</v>
      </c>
      <c r="U5" s="48"/>
      <c r="V5" s="9" t="s">
        <v>86</v>
      </c>
      <c r="W5" s="46"/>
      <c r="X5" s="41"/>
      <c r="Y5" s="41"/>
      <c r="Z5" s="41"/>
      <c r="AA5" s="41"/>
      <c r="AB5" s="41"/>
      <c r="AC5" s="41"/>
      <c r="AD5" s="41"/>
      <c r="AE5" s="41"/>
      <c r="AF5" s="41"/>
      <c r="AG5" s="41"/>
      <c r="AH5" s="41"/>
      <c r="AI5" s="47"/>
      <c r="AJ5" s="9" t="s">
        <v>620</v>
      </c>
    </row>
    <row r="6" ht="35.25" customHeight="1">
      <c r="A6" s="41"/>
      <c r="B6" s="41"/>
      <c r="C6" s="41"/>
      <c r="D6" s="41"/>
      <c r="E6" s="41"/>
      <c r="F6" s="47"/>
      <c r="G6" s="9" t="s">
        <v>621</v>
      </c>
      <c r="H6" s="9" t="s">
        <v>601</v>
      </c>
      <c r="I6" s="9" t="s">
        <v>602</v>
      </c>
      <c r="J6" s="46"/>
      <c r="K6" s="47"/>
      <c r="L6" s="9" t="s">
        <v>622</v>
      </c>
      <c r="M6" s="48"/>
      <c r="N6" s="9" t="s">
        <v>623</v>
      </c>
      <c r="O6" s="9" t="s">
        <v>298</v>
      </c>
      <c r="P6" s="9" t="s">
        <v>299</v>
      </c>
      <c r="Q6" s="48"/>
      <c r="R6" s="9" t="s">
        <v>11</v>
      </c>
      <c r="S6" s="31">
        <v>3.0</v>
      </c>
      <c r="T6" s="9" t="s">
        <v>624</v>
      </c>
      <c r="U6" s="48"/>
      <c r="V6" s="9" t="s">
        <v>86</v>
      </c>
      <c r="W6" s="46"/>
      <c r="X6" s="41"/>
      <c r="Y6" s="41"/>
      <c r="Z6" s="41"/>
      <c r="AA6" s="41"/>
      <c r="AB6" s="41"/>
      <c r="AC6" s="41"/>
      <c r="AD6" s="41"/>
      <c r="AE6" s="41"/>
      <c r="AF6" s="41"/>
      <c r="AG6" s="41"/>
      <c r="AH6" s="41"/>
      <c r="AI6" s="47"/>
      <c r="AJ6" s="9" t="s">
        <v>625</v>
      </c>
    </row>
    <row r="7" ht="35.25" customHeight="1">
      <c r="A7" s="41"/>
      <c r="B7" s="41"/>
      <c r="C7" s="41"/>
      <c r="D7" s="41"/>
      <c r="E7" s="41"/>
      <c r="F7" s="47"/>
      <c r="G7" s="9" t="s">
        <v>626</v>
      </c>
      <c r="H7" s="9" t="s">
        <v>627</v>
      </c>
      <c r="I7" s="9" t="s">
        <v>628</v>
      </c>
      <c r="J7" s="46"/>
      <c r="K7" s="47"/>
      <c r="L7" s="9" t="s">
        <v>629</v>
      </c>
      <c r="M7" s="48"/>
      <c r="N7" s="9" t="s">
        <v>630</v>
      </c>
      <c r="O7" s="9" t="s">
        <v>499</v>
      </c>
      <c r="P7" s="9" t="s">
        <v>313</v>
      </c>
      <c r="Q7" s="48"/>
      <c r="R7" s="9" t="s">
        <v>11</v>
      </c>
      <c r="S7" s="49">
        <v>4.0</v>
      </c>
      <c r="T7" s="9" t="s">
        <v>631</v>
      </c>
      <c r="U7" s="48"/>
      <c r="V7" s="9" t="s">
        <v>86</v>
      </c>
      <c r="W7" s="46"/>
      <c r="X7" s="41"/>
      <c r="Y7" s="41"/>
      <c r="Z7" s="41"/>
      <c r="AA7" s="41"/>
      <c r="AB7" s="41"/>
      <c r="AC7" s="41"/>
      <c r="AD7" s="41"/>
      <c r="AE7" s="41"/>
      <c r="AF7" s="41"/>
      <c r="AG7" s="41"/>
      <c r="AH7" s="41"/>
      <c r="AI7" s="47"/>
      <c r="AJ7" s="9" t="s">
        <v>632</v>
      </c>
    </row>
    <row r="8" ht="35.25" customHeight="1">
      <c r="A8" s="41"/>
      <c r="B8" s="41"/>
      <c r="C8" s="41"/>
      <c r="D8" s="41"/>
      <c r="E8" s="41"/>
      <c r="F8" s="47"/>
      <c r="G8" s="9" t="s">
        <v>633</v>
      </c>
      <c r="H8" s="9" t="s">
        <v>601</v>
      </c>
      <c r="I8" s="9" t="s">
        <v>602</v>
      </c>
      <c r="J8" s="46"/>
      <c r="K8" s="47"/>
      <c r="L8" s="9" t="s">
        <v>634</v>
      </c>
      <c r="M8" s="48"/>
      <c r="N8" s="9" t="s">
        <v>635</v>
      </c>
      <c r="O8" s="9" t="s">
        <v>298</v>
      </c>
      <c r="P8" s="9" t="s">
        <v>268</v>
      </c>
      <c r="Q8" s="48"/>
      <c r="R8" s="9" t="s">
        <v>11</v>
      </c>
      <c r="S8" s="30">
        <v>2.0</v>
      </c>
      <c r="T8" s="9" t="s">
        <v>636</v>
      </c>
      <c r="U8" s="48"/>
      <c r="V8" s="9" t="s">
        <v>86</v>
      </c>
      <c r="W8" s="46"/>
      <c r="X8" s="41"/>
      <c r="Y8" s="41"/>
      <c r="Z8" s="41"/>
      <c r="AA8" s="41"/>
      <c r="AB8" s="41"/>
      <c r="AC8" s="41"/>
      <c r="AD8" s="41"/>
      <c r="AE8" s="41"/>
      <c r="AF8" s="41"/>
      <c r="AG8" s="41"/>
      <c r="AH8" s="41"/>
      <c r="AI8" s="47"/>
      <c r="AJ8" s="9" t="s">
        <v>637</v>
      </c>
    </row>
    <row r="9" ht="24.0" customHeight="1">
      <c r="A9" s="41"/>
      <c r="B9" s="41"/>
      <c r="C9" s="41"/>
      <c r="D9" s="41"/>
      <c r="E9" s="41"/>
      <c r="F9" s="47"/>
      <c r="G9" s="9" t="s">
        <v>638</v>
      </c>
      <c r="H9" s="9" t="s">
        <v>601</v>
      </c>
      <c r="I9" s="9" t="s">
        <v>602</v>
      </c>
      <c r="J9" s="46"/>
      <c r="K9" s="47"/>
      <c r="L9" s="9" t="s">
        <v>639</v>
      </c>
      <c r="M9" s="48"/>
      <c r="N9" s="9" t="s">
        <v>640</v>
      </c>
      <c r="O9" s="9" t="s">
        <v>298</v>
      </c>
      <c r="P9" s="9" t="s">
        <v>268</v>
      </c>
      <c r="Q9" s="48"/>
      <c r="R9" s="9" t="s">
        <v>11</v>
      </c>
      <c r="S9" s="30">
        <v>2.0</v>
      </c>
      <c r="T9" s="9" t="s">
        <v>641</v>
      </c>
      <c r="U9" s="48"/>
      <c r="V9" s="9" t="s">
        <v>86</v>
      </c>
      <c r="W9" s="46"/>
      <c r="X9" s="41"/>
      <c r="Y9" s="41"/>
      <c r="Z9" s="41"/>
      <c r="AA9" s="41"/>
      <c r="AB9" s="41"/>
      <c r="AC9" s="41"/>
      <c r="AD9" s="41"/>
      <c r="AE9" s="41"/>
      <c r="AF9" s="41"/>
      <c r="AG9" s="41"/>
      <c r="AH9" s="41"/>
      <c r="AI9" s="47"/>
      <c r="AJ9" s="9" t="s">
        <v>642</v>
      </c>
    </row>
    <row r="10" ht="13.5" customHeight="1">
      <c r="A10" s="41"/>
      <c r="B10" s="41"/>
      <c r="C10" s="41"/>
      <c r="D10" s="41"/>
      <c r="E10" s="41"/>
      <c r="F10" s="41"/>
      <c r="G10" s="33"/>
      <c r="H10" s="33"/>
      <c r="I10" s="33"/>
      <c r="J10" s="41"/>
      <c r="K10" s="41"/>
      <c r="L10" s="33"/>
      <c r="M10" s="41"/>
      <c r="N10" s="33"/>
      <c r="O10" s="33"/>
      <c r="P10" s="33"/>
      <c r="Q10" s="41"/>
      <c r="R10" s="33"/>
      <c r="S10" s="33"/>
      <c r="T10" s="33"/>
      <c r="U10" s="41"/>
      <c r="V10" s="33"/>
      <c r="W10" s="41"/>
      <c r="X10" s="41"/>
      <c r="Y10" s="41"/>
      <c r="Z10" s="41"/>
      <c r="AA10" s="41"/>
      <c r="AB10" s="41"/>
      <c r="AC10" s="41"/>
      <c r="AD10" s="41"/>
      <c r="AE10" s="41"/>
      <c r="AF10" s="41"/>
      <c r="AG10" s="41"/>
      <c r="AH10" s="41"/>
      <c r="AI10" s="41"/>
      <c r="AJ10" s="33"/>
    </row>
    <row r="1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row>
  </sheetData>
  <printOptions/>
  <pageMargins bottom="1.0" footer="0.0" header="0.0" left="0.75" right="0.75" top="1.0"/>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66" t="s">
        <v>16</v>
      </c>
      <c r="B1" s="66" t="s">
        <v>17</v>
      </c>
      <c r="C1" s="66" t="s">
        <v>18</v>
      </c>
      <c r="D1" s="66" t="s">
        <v>19</v>
      </c>
      <c r="E1" s="66" t="s">
        <v>20</v>
      </c>
      <c r="F1" s="66" t="s">
        <v>21</v>
      </c>
      <c r="G1" s="66" t="s">
        <v>22</v>
      </c>
      <c r="H1" s="66" t="s">
        <v>23</v>
      </c>
      <c r="I1" s="66" t="s">
        <v>24</v>
      </c>
      <c r="J1" s="66" t="s">
        <v>25</v>
      </c>
      <c r="K1" s="66" t="s">
        <v>26</v>
      </c>
      <c r="L1" s="66" t="s">
        <v>27</v>
      </c>
      <c r="M1" s="66" t="s">
        <v>28</v>
      </c>
      <c r="N1" s="66" t="s">
        <v>391</v>
      </c>
      <c r="O1" s="66" t="s">
        <v>30</v>
      </c>
      <c r="P1" s="66" t="s">
        <v>31</v>
      </c>
      <c r="Q1" s="66" t="s">
        <v>32</v>
      </c>
      <c r="R1" s="66" t="s">
        <v>33</v>
      </c>
      <c r="S1" s="66" t="s">
        <v>34</v>
      </c>
      <c r="T1" s="66" t="s">
        <v>35</v>
      </c>
      <c r="U1" s="66" t="s">
        <v>36</v>
      </c>
      <c r="V1" s="66" t="s">
        <v>392</v>
      </c>
      <c r="W1" s="66" t="s">
        <v>37</v>
      </c>
      <c r="X1" s="66" t="s">
        <v>393</v>
      </c>
      <c r="Y1" s="66" t="s">
        <v>39</v>
      </c>
      <c r="Z1" s="66" t="s">
        <v>41</v>
      </c>
      <c r="AA1" s="66" t="s">
        <v>42</v>
      </c>
      <c r="AB1" s="66" t="s">
        <v>43</v>
      </c>
      <c r="AC1" s="66" t="s">
        <v>44</v>
      </c>
      <c r="AD1" s="66" t="s">
        <v>45</v>
      </c>
      <c r="AE1" s="66" t="s">
        <v>46</v>
      </c>
      <c r="AF1" s="66" t="s">
        <v>47</v>
      </c>
      <c r="AG1" s="66" t="s">
        <v>48</v>
      </c>
      <c r="AH1" s="66" t="s">
        <v>49</v>
      </c>
      <c r="AI1" s="66" t="s">
        <v>50</v>
      </c>
      <c r="AJ1" s="66" t="s">
        <v>51</v>
      </c>
    </row>
    <row r="2" ht="35.25" customHeight="1">
      <c r="A2" s="33"/>
      <c r="B2" s="33"/>
      <c r="C2" s="34"/>
      <c r="D2" s="9" t="s">
        <v>643</v>
      </c>
      <c r="E2" s="9" t="s">
        <v>644</v>
      </c>
      <c r="F2" s="37"/>
      <c r="G2" s="9" t="s">
        <v>645</v>
      </c>
      <c r="H2" s="9" t="s">
        <v>12</v>
      </c>
      <c r="I2" s="9" t="s">
        <v>646</v>
      </c>
      <c r="J2" s="36"/>
      <c r="K2" s="34"/>
      <c r="L2" s="9" t="s">
        <v>647</v>
      </c>
      <c r="M2" s="37"/>
      <c r="N2" s="9" t="s">
        <v>648</v>
      </c>
      <c r="O2" s="9" t="s">
        <v>499</v>
      </c>
      <c r="P2" s="9" t="s">
        <v>649</v>
      </c>
      <c r="Q2" s="37"/>
      <c r="R2" s="9" t="s">
        <v>12</v>
      </c>
      <c r="S2" s="71">
        <v>5.0</v>
      </c>
      <c r="T2" s="9" t="s">
        <v>650</v>
      </c>
      <c r="U2" s="37"/>
      <c r="V2" s="9" t="s">
        <v>86</v>
      </c>
      <c r="W2" s="36"/>
      <c r="X2" s="33"/>
      <c r="Y2" s="33"/>
      <c r="Z2" s="33"/>
      <c r="AA2" s="33"/>
      <c r="AB2" s="33"/>
      <c r="AC2" s="33"/>
      <c r="AD2" s="33"/>
      <c r="AE2" s="33"/>
      <c r="AF2" s="33"/>
      <c r="AG2" s="33"/>
      <c r="AH2" s="33"/>
      <c r="AI2" s="34"/>
      <c r="AJ2" s="9" t="s">
        <v>651</v>
      </c>
    </row>
    <row r="3" ht="35.25" customHeight="1">
      <c r="A3" s="41"/>
      <c r="B3" s="41"/>
      <c r="C3" s="41"/>
      <c r="D3" s="33"/>
      <c r="E3" s="33"/>
      <c r="F3" s="47"/>
      <c r="G3" s="9" t="s">
        <v>652</v>
      </c>
      <c r="H3" s="9" t="s">
        <v>12</v>
      </c>
      <c r="I3" s="9" t="s">
        <v>646</v>
      </c>
      <c r="J3" s="46"/>
      <c r="K3" s="47"/>
      <c r="L3" s="9" t="s">
        <v>653</v>
      </c>
      <c r="M3" s="48"/>
      <c r="N3" s="9" t="s">
        <v>654</v>
      </c>
      <c r="O3" s="9" t="s">
        <v>499</v>
      </c>
      <c r="P3" s="9" t="s">
        <v>655</v>
      </c>
      <c r="Q3" s="48"/>
      <c r="R3" s="9" t="s">
        <v>12</v>
      </c>
      <c r="S3" s="71">
        <v>5.0</v>
      </c>
      <c r="T3" s="9" t="s">
        <v>656</v>
      </c>
      <c r="U3" s="48"/>
      <c r="V3" s="9" t="s">
        <v>86</v>
      </c>
      <c r="W3" s="46"/>
      <c r="X3" s="41"/>
      <c r="Y3" s="41"/>
      <c r="Z3" s="41"/>
      <c r="AA3" s="41"/>
      <c r="AB3" s="41"/>
      <c r="AC3" s="41"/>
      <c r="AD3" s="41"/>
      <c r="AE3" s="41"/>
      <c r="AF3" s="41"/>
      <c r="AG3" s="41"/>
      <c r="AH3" s="41"/>
      <c r="AI3" s="47"/>
      <c r="AJ3" s="9" t="s">
        <v>657</v>
      </c>
    </row>
    <row r="4" ht="35.25" customHeight="1">
      <c r="A4" s="41"/>
      <c r="B4" s="41"/>
      <c r="C4" s="41"/>
      <c r="D4" s="41"/>
      <c r="E4" s="41"/>
      <c r="F4" s="47"/>
      <c r="G4" s="9" t="s">
        <v>658</v>
      </c>
      <c r="H4" s="9" t="s">
        <v>12</v>
      </c>
      <c r="I4" s="9" t="s">
        <v>646</v>
      </c>
      <c r="J4" s="46"/>
      <c r="K4" s="47"/>
      <c r="L4" s="9" t="s">
        <v>659</v>
      </c>
      <c r="M4" s="48"/>
      <c r="N4" s="9" t="s">
        <v>660</v>
      </c>
      <c r="O4" s="9" t="s">
        <v>499</v>
      </c>
      <c r="P4" s="9" t="s">
        <v>661</v>
      </c>
      <c r="Q4" s="48"/>
      <c r="R4" s="9" t="s">
        <v>12</v>
      </c>
      <c r="S4" s="49">
        <v>4.0</v>
      </c>
      <c r="T4" s="9" t="s">
        <v>662</v>
      </c>
      <c r="U4" s="48"/>
      <c r="V4" s="9" t="s">
        <v>86</v>
      </c>
      <c r="W4" s="46"/>
      <c r="X4" s="41"/>
      <c r="Y4" s="41"/>
      <c r="Z4" s="41"/>
      <c r="AA4" s="41"/>
      <c r="AB4" s="41"/>
      <c r="AC4" s="41"/>
      <c r="AD4" s="41"/>
      <c r="AE4" s="41"/>
      <c r="AF4" s="41"/>
      <c r="AG4" s="41"/>
      <c r="AH4" s="41"/>
      <c r="AI4" s="47"/>
      <c r="AJ4" s="9" t="s">
        <v>663</v>
      </c>
    </row>
    <row r="5" ht="24.0" customHeight="1">
      <c r="A5" s="41"/>
      <c r="B5" s="41"/>
      <c r="C5" s="41"/>
      <c r="D5" s="41"/>
      <c r="E5" s="41"/>
      <c r="F5" s="47"/>
      <c r="G5" s="9" t="s">
        <v>664</v>
      </c>
      <c r="H5" s="9" t="s">
        <v>12</v>
      </c>
      <c r="I5" s="9" t="s">
        <v>646</v>
      </c>
      <c r="J5" s="46"/>
      <c r="K5" s="47"/>
      <c r="L5" s="9" t="s">
        <v>665</v>
      </c>
      <c r="M5" s="48"/>
      <c r="N5" s="9" t="s">
        <v>666</v>
      </c>
      <c r="O5" s="9" t="s">
        <v>499</v>
      </c>
      <c r="P5" s="9" t="s">
        <v>256</v>
      </c>
      <c r="Q5" s="48"/>
      <c r="R5" s="9" t="s">
        <v>12</v>
      </c>
      <c r="S5" s="49">
        <v>4.0</v>
      </c>
      <c r="T5" s="9" t="s">
        <v>667</v>
      </c>
      <c r="U5" s="48"/>
      <c r="V5" s="9" t="s">
        <v>86</v>
      </c>
      <c r="W5" s="46"/>
      <c r="X5" s="41"/>
      <c r="Y5" s="41"/>
      <c r="Z5" s="41"/>
      <c r="AA5" s="41"/>
      <c r="AB5" s="41"/>
      <c r="AC5" s="41"/>
      <c r="AD5" s="41"/>
      <c r="AE5" s="41"/>
      <c r="AF5" s="41"/>
      <c r="AG5" s="41"/>
      <c r="AH5" s="41"/>
      <c r="AI5" s="47"/>
      <c r="AJ5" s="9" t="s">
        <v>668</v>
      </c>
    </row>
    <row r="6" ht="35.25" customHeight="1">
      <c r="A6" s="41"/>
      <c r="B6" s="41"/>
      <c r="C6" s="41"/>
      <c r="D6" s="41"/>
      <c r="E6" s="41"/>
      <c r="F6" s="47"/>
      <c r="G6" s="9" t="s">
        <v>669</v>
      </c>
      <c r="H6" s="9" t="s">
        <v>12</v>
      </c>
      <c r="I6" s="9" t="s">
        <v>646</v>
      </c>
      <c r="J6" s="46"/>
      <c r="K6" s="47"/>
      <c r="L6" s="9" t="s">
        <v>670</v>
      </c>
      <c r="M6" s="48"/>
      <c r="N6" s="9" t="s">
        <v>671</v>
      </c>
      <c r="O6" s="9" t="s">
        <v>499</v>
      </c>
      <c r="P6" s="9" t="s">
        <v>672</v>
      </c>
      <c r="Q6" s="48"/>
      <c r="R6" s="9" t="s">
        <v>12</v>
      </c>
      <c r="S6" s="49">
        <v>4.0</v>
      </c>
      <c r="T6" s="9" t="s">
        <v>673</v>
      </c>
      <c r="U6" s="48"/>
      <c r="V6" s="9" t="s">
        <v>86</v>
      </c>
      <c r="W6" s="46"/>
      <c r="X6" s="41"/>
      <c r="Y6" s="41"/>
      <c r="Z6" s="41"/>
      <c r="AA6" s="41"/>
      <c r="AB6" s="41"/>
      <c r="AC6" s="41"/>
      <c r="AD6" s="41"/>
      <c r="AE6" s="41"/>
      <c r="AF6" s="41"/>
      <c r="AG6" s="41"/>
      <c r="AH6" s="41"/>
      <c r="AI6" s="47"/>
      <c r="AJ6" s="9" t="s">
        <v>674</v>
      </c>
    </row>
    <row r="7" ht="35.25" customHeight="1">
      <c r="A7" s="41"/>
      <c r="B7" s="41"/>
      <c r="C7" s="41"/>
      <c r="D7" s="41"/>
      <c r="E7" s="41"/>
      <c r="F7" s="47"/>
      <c r="G7" s="9" t="s">
        <v>675</v>
      </c>
      <c r="H7" s="9" t="s">
        <v>12</v>
      </c>
      <c r="I7" s="9" t="s">
        <v>646</v>
      </c>
      <c r="J7" s="46"/>
      <c r="K7" s="47"/>
      <c r="L7" s="9" t="s">
        <v>676</v>
      </c>
      <c r="M7" s="48"/>
      <c r="N7" s="9" t="s">
        <v>677</v>
      </c>
      <c r="O7" s="9" t="s">
        <v>499</v>
      </c>
      <c r="P7" s="9" t="s">
        <v>256</v>
      </c>
      <c r="Q7" s="48"/>
      <c r="R7" s="9" t="s">
        <v>12</v>
      </c>
      <c r="S7" s="31">
        <v>3.0</v>
      </c>
      <c r="T7" s="9" t="s">
        <v>678</v>
      </c>
      <c r="U7" s="48"/>
      <c r="V7" s="9" t="s">
        <v>86</v>
      </c>
      <c r="W7" s="46"/>
      <c r="X7" s="41"/>
      <c r="Y7" s="41"/>
      <c r="Z7" s="41"/>
      <c r="AA7" s="41"/>
      <c r="AB7" s="41"/>
      <c r="AC7" s="41"/>
      <c r="AD7" s="41"/>
      <c r="AE7" s="41"/>
      <c r="AF7" s="41"/>
      <c r="AG7" s="41"/>
      <c r="AH7" s="41"/>
      <c r="AI7" s="47"/>
      <c r="AJ7" s="9" t="s">
        <v>679</v>
      </c>
    </row>
    <row r="8" ht="24.0" customHeight="1">
      <c r="A8" s="41"/>
      <c r="B8" s="41"/>
      <c r="C8" s="41"/>
      <c r="D8" s="41"/>
      <c r="E8" s="41"/>
      <c r="F8" s="47"/>
      <c r="G8" s="9" t="s">
        <v>680</v>
      </c>
      <c r="H8" s="9" t="s">
        <v>12</v>
      </c>
      <c r="I8" s="9" t="s">
        <v>646</v>
      </c>
      <c r="J8" s="46"/>
      <c r="K8" s="47"/>
      <c r="L8" s="9" t="s">
        <v>681</v>
      </c>
      <c r="M8" s="46"/>
      <c r="N8" s="34"/>
      <c r="O8" s="9" t="s">
        <v>298</v>
      </c>
      <c r="P8" s="9" t="s">
        <v>299</v>
      </c>
      <c r="Q8" s="48"/>
      <c r="R8" s="9" t="s">
        <v>12</v>
      </c>
      <c r="S8" s="31">
        <v>3.0</v>
      </c>
      <c r="T8" s="9" t="s">
        <v>682</v>
      </c>
      <c r="U8" s="48"/>
      <c r="V8" s="9" t="s">
        <v>86</v>
      </c>
      <c r="W8" s="46"/>
      <c r="X8" s="41"/>
      <c r="Y8" s="41"/>
      <c r="Z8" s="41"/>
      <c r="AA8" s="41"/>
      <c r="AB8" s="41"/>
      <c r="AC8" s="41"/>
      <c r="AD8" s="41"/>
      <c r="AE8" s="41"/>
      <c r="AF8" s="41"/>
      <c r="AG8" s="41"/>
      <c r="AH8" s="41"/>
      <c r="AI8" s="47"/>
      <c r="AJ8" s="9" t="s">
        <v>683</v>
      </c>
    </row>
    <row r="9" ht="13.5" customHeight="1">
      <c r="A9" s="41"/>
      <c r="B9" s="41"/>
      <c r="C9" s="41"/>
      <c r="D9" s="41"/>
      <c r="E9" s="41"/>
      <c r="F9" s="47"/>
      <c r="G9" s="9" t="s">
        <v>684</v>
      </c>
      <c r="H9" s="9" t="s">
        <v>12</v>
      </c>
      <c r="I9" s="9" t="s">
        <v>646</v>
      </c>
      <c r="J9" s="46"/>
      <c r="K9" s="47"/>
      <c r="L9" s="9" t="s">
        <v>685</v>
      </c>
      <c r="M9" s="46"/>
      <c r="N9" s="47"/>
      <c r="O9" s="9" t="s">
        <v>298</v>
      </c>
      <c r="P9" s="9" t="s">
        <v>299</v>
      </c>
      <c r="Q9" s="48"/>
      <c r="R9" s="9" t="s">
        <v>12</v>
      </c>
      <c r="S9" s="30">
        <v>2.0</v>
      </c>
      <c r="T9" s="9" t="s">
        <v>686</v>
      </c>
      <c r="U9" s="48"/>
      <c r="V9" s="9" t="s">
        <v>86</v>
      </c>
      <c r="W9" s="46"/>
      <c r="X9" s="41"/>
      <c r="Y9" s="41"/>
      <c r="Z9" s="41"/>
      <c r="AA9" s="41"/>
      <c r="AB9" s="41"/>
      <c r="AC9" s="41"/>
      <c r="AD9" s="41"/>
      <c r="AE9" s="41"/>
      <c r="AF9" s="41"/>
      <c r="AG9" s="41"/>
      <c r="AH9" s="41"/>
      <c r="AI9" s="47"/>
      <c r="AJ9" s="9" t="s">
        <v>687</v>
      </c>
    </row>
    <row r="10" ht="13.5" customHeight="1">
      <c r="A10" s="41"/>
      <c r="B10" s="41"/>
      <c r="C10" s="41"/>
      <c r="D10" s="41"/>
      <c r="E10" s="41"/>
      <c r="F10" s="41"/>
      <c r="G10" s="33"/>
      <c r="H10" s="33"/>
      <c r="I10" s="33"/>
      <c r="J10" s="41"/>
      <c r="K10" s="41"/>
      <c r="L10" s="33"/>
      <c r="M10" s="41"/>
      <c r="N10" s="41"/>
      <c r="O10" s="33"/>
      <c r="P10" s="33"/>
      <c r="Q10" s="41"/>
      <c r="R10" s="33"/>
      <c r="S10" s="33"/>
      <c r="T10" s="33"/>
      <c r="U10" s="41"/>
      <c r="V10" s="33"/>
      <c r="W10" s="41"/>
      <c r="X10" s="41"/>
      <c r="Y10" s="41"/>
      <c r="Z10" s="41"/>
      <c r="AA10" s="41"/>
      <c r="AB10" s="41"/>
      <c r="AC10" s="41"/>
      <c r="AD10" s="41"/>
      <c r="AE10" s="41"/>
      <c r="AF10" s="41"/>
      <c r="AG10" s="41"/>
      <c r="AH10" s="41"/>
      <c r="AI10" s="41"/>
      <c r="AJ10" s="33"/>
    </row>
    <row r="1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row>
  </sheetData>
  <printOptions/>
  <pageMargins bottom="1.0" footer="0.0" header="0.0" left="0.75" right="0.75" top="1.0"/>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66" t="s">
        <v>16</v>
      </c>
      <c r="B1" s="66" t="s">
        <v>17</v>
      </c>
      <c r="C1" s="66" t="s">
        <v>18</v>
      </c>
      <c r="D1" s="66" t="s">
        <v>19</v>
      </c>
      <c r="E1" s="66" t="s">
        <v>20</v>
      </c>
      <c r="F1" s="66" t="s">
        <v>21</v>
      </c>
      <c r="G1" s="66" t="s">
        <v>22</v>
      </c>
      <c r="H1" s="66" t="s">
        <v>23</v>
      </c>
      <c r="I1" s="66" t="s">
        <v>24</v>
      </c>
      <c r="J1" s="66" t="s">
        <v>25</v>
      </c>
      <c r="K1" s="66" t="s">
        <v>26</v>
      </c>
      <c r="L1" s="66" t="s">
        <v>27</v>
      </c>
      <c r="M1" s="66" t="s">
        <v>28</v>
      </c>
      <c r="N1" s="66" t="s">
        <v>391</v>
      </c>
      <c r="O1" s="66" t="s">
        <v>30</v>
      </c>
      <c r="P1" s="66" t="s">
        <v>31</v>
      </c>
      <c r="Q1" s="66" t="s">
        <v>32</v>
      </c>
      <c r="R1" s="66" t="s">
        <v>33</v>
      </c>
      <c r="S1" s="66" t="s">
        <v>34</v>
      </c>
      <c r="T1" s="66" t="s">
        <v>35</v>
      </c>
      <c r="U1" s="66" t="s">
        <v>36</v>
      </c>
      <c r="V1" s="66" t="s">
        <v>392</v>
      </c>
      <c r="W1" s="66" t="s">
        <v>37</v>
      </c>
      <c r="X1" s="66" t="s">
        <v>393</v>
      </c>
      <c r="Y1" s="66" t="s">
        <v>39</v>
      </c>
      <c r="Z1" s="66" t="s">
        <v>41</v>
      </c>
      <c r="AA1" s="66" t="s">
        <v>42</v>
      </c>
      <c r="AB1" s="66" t="s">
        <v>43</v>
      </c>
      <c r="AC1" s="66" t="s">
        <v>44</v>
      </c>
      <c r="AD1" s="66" t="s">
        <v>45</v>
      </c>
      <c r="AE1" s="66" t="s">
        <v>46</v>
      </c>
      <c r="AF1" s="66" t="s">
        <v>47</v>
      </c>
      <c r="AG1" s="66" t="s">
        <v>48</v>
      </c>
      <c r="AH1" s="66" t="s">
        <v>49</v>
      </c>
      <c r="AI1" s="66" t="s">
        <v>50</v>
      </c>
      <c r="AJ1" s="66" t="s">
        <v>51</v>
      </c>
    </row>
    <row r="2" ht="35.25" customHeight="1">
      <c r="A2" s="33"/>
      <c r="B2" s="33"/>
      <c r="C2" s="33"/>
      <c r="D2" s="33"/>
      <c r="E2" s="33"/>
      <c r="F2" s="34"/>
      <c r="G2" s="9" t="s">
        <v>688</v>
      </c>
      <c r="H2" s="9" t="s">
        <v>13</v>
      </c>
      <c r="I2" s="9" t="s">
        <v>689</v>
      </c>
      <c r="J2" s="36"/>
      <c r="K2" s="34"/>
      <c r="L2" s="9" t="s">
        <v>690</v>
      </c>
      <c r="M2" s="37"/>
      <c r="N2" s="9" t="s">
        <v>691</v>
      </c>
      <c r="O2" s="9" t="s">
        <v>499</v>
      </c>
      <c r="P2" s="9" t="s">
        <v>692</v>
      </c>
      <c r="Q2" s="37"/>
      <c r="R2" s="9" t="s">
        <v>13</v>
      </c>
      <c r="S2" s="71">
        <v>5.0</v>
      </c>
      <c r="T2" s="9" t="s">
        <v>693</v>
      </c>
      <c r="U2" s="37"/>
      <c r="V2" s="9" t="s">
        <v>86</v>
      </c>
      <c r="W2" s="36"/>
      <c r="X2" s="33"/>
      <c r="Y2" s="33"/>
      <c r="Z2" s="33"/>
      <c r="AA2" s="33"/>
      <c r="AB2" s="33"/>
      <c r="AC2" s="33"/>
      <c r="AD2" s="33"/>
      <c r="AE2" s="33"/>
      <c r="AF2" s="33"/>
      <c r="AG2" s="33"/>
      <c r="AH2" s="33"/>
      <c r="AI2" s="34"/>
      <c r="AJ2" s="9" t="s">
        <v>694</v>
      </c>
    </row>
    <row r="3" ht="46.5" customHeight="1">
      <c r="A3" s="41"/>
      <c r="B3" s="41"/>
      <c r="C3" s="41"/>
      <c r="D3" s="41"/>
      <c r="E3" s="41"/>
      <c r="F3" s="47"/>
      <c r="G3" s="9" t="s">
        <v>695</v>
      </c>
      <c r="H3" s="9" t="s">
        <v>13</v>
      </c>
      <c r="I3" s="9" t="s">
        <v>689</v>
      </c>
      <c r="J3" s="46"/>
      <c r="K3" s="47"/>
      <c r="L3" s="9" t="s">
        <v>696</v>
      </c>
      <c r="M3" s="48"/>
      <c r="N3" s="9" t="s">
        <v>697</v>
      </c>
      <c r="O3" s="9" t="s">
        <v>499</v>
      </c>
      <c r="P3" s="9" t="s">
        <v>214</v>
      </c>
      <c r="Q3" s="48"/>
      <c r="R3" s="9" t="s">
        <v>13</v>
      </c>
      <c r="S3" s="71">
        <v>5.0</v>
      </c>
      <c r="T3" s="9" t="s">
        <v>698</v>
      </c>
      <c r="U3" s="48"/>
      <c r="V3" s="9" t="s">
        <v>86</v>
      </c>
      <c r="W3" s="46"/>
      <c r="X3" s="41"/>
      <c r="Y3" s="41"/>
      <c r="Z3" s="41"/>
      <c r="AA3" s="41"/>
      <c r="AB3" s="41"/>
      <c r="AC3" s="41"/>
      <c r="AD3" s="41"/>
      <c r="AE3" s="41"/>
      <c r="AF3" s="41"/>
      <c r="AG3" s="41"/>
      <c r="AH3" s="41"/>
      <c r="AI3" s="47"/>
      <c r="AJ3" s="9" t="s">
        <v>699</v>
      </c>
    </row>
    <row r="4" ht="46.5" customHeight="1">
      <c r="A4" s="41"/>
      <c r="B4" s="41"/>
      <c r="C4" s="41"/>
      <c r="D4" s="41"/>
      <c r="E4" s="41"/>
      <c r="F4" s="47"/>
      <c r="G4" s="9" t="s">
        <v>700</v>
      </c>
      <c r="H4" s="9" t="s">
        <v>13</v>
      </c>
      <c r="I4" s="9" t="s">
        <v>689</v>
      </c>
      <c r="J4" s="46"/>
      <c r="K4" s="47"/>
      <c r="L4" s="9" t="s">
        <v>701</v>
      </c>
      <c r="M4" s="48"/>
      <c r="N4" s="9" t="s">
        <v>702</v>
      </c>
      <c r="O4" s="9" t="s">
        <v>499</v>
      </c>
      <c r="P4" s="9" t="s">
        <v>313</v>
      </c>
      <c r="Q4" s="48"/>
      <c r="R4" s="9" t="s">
        <v>13</v>
      </c>
      <c r="S4" s="49">
        <v>4.0</v>
      </c>
      <c r="T4" s="9" t="s">
        <v>703</v>
      </c>
      <c r="U4" s="48"/>
      <c r="V4" s="9" t="s">
        <v>86</v>
      </c>
      <c r="W4" s="46"/>
      <c r="X4" s="41"/>
      <c r="Y4" s="41"/>
      <c r="Z4" s="41"/>
      <c r="AA4" s="41"/>
      <c r="AB4" s="41"/>
      <c r="AC4" s="41"/>
      <c r="AD4" s="41"/>
      <c r="AE4" s="41"/>
      <c r="AF4" s="41"/>
      <c r="AG4" s="41"/>
      <c r="AH4" s="41"/>
      <c r="AI4" s="47"/>
      <c r="AJ4" s="9" t="s">
        <v>704</v>
      </c>
    </row>
    <row r="5" ht="46.5" customHeight="1">
      <c r="A5" s="41"/>
      <c r="B5" s="41"/>
      <c r="C5" s="41"/>
      <c r="D5" s="41"/>
      <c r="E5" s="41"/>
      <c r="F5" s="47"/>
      <c r="G5" s="9" t="s">
        <v>705</v>
      </c>
      <c r="H5" s="9" t="s">
        <v>13</v>
      </c>
      <c r="I5" s="9" t="s">
        <v>689</v>
      </c>
      <c r="J5" s="46"/>
      <c r="K5" s="47"/>
      <c r="L5" s="9" t="s">
        <v>706</v>
      </c>
      <c r="M5" s="48"/>
      <c r="N5" s="9" t="s">
        <v>707</v>
      </c>
      <c r="O5" s="9" t="s">
        <v>499</v>
      </c>
      <c r="P5" s="9" t="s">
        <v>313</v>
      </c>
      <c r="Q5" s="48"/>
      <c r="R5" s="9" t="s">
        <v>13</v>
      </c>
      <c r="S5" s="49">
        <v>4.0</v>
      </c>
      <c r="T5" s="9" t="s">
        <v>708</v>
      </c>
      <c r="U5" s="48"/>
      <c r="V5" s="9" t="s">
        <v>86</v>
      </c>
      <c r="W5" s="46"/>
      <c r="X5" s="41"/>
      <c r="Y5" s="41"/>
      <c r="Z5" s="41"/>
      <c r="AA5" s="41"/>
      <c r="AB5" s="41"/>
      <c r="AC5" s="41"/>
      <c r="AD5" s="41"/>
      <c r="AE5" s="41"/>
      <c r="AF5" s="41"/>
      <c r="AG5" s="41"/>
      <c r="AH5" s="41"/>
      <c r="AI5" s="47"/>
      <c r="AJ5" s="9" t="s">
        <v>709</v>
      </c>
    </row>
    <row r="6" ht="46.5" customHeight="1">
      <c r="A6" s="41"/>
      <c r="B6" s="41"/>
      <c r="C6" s="41"/>
      <c r="D6" s="41"/>
      <c r="E6" s="41"/>
      <c r="F6" s="47"/>
      <c r="G6" s="9" t="s">
        <v>710</v>
      </c>
      <c r="H6" s="9" t="s">
        <v>13</v>
      </c>
      <c r="I6" s="9" t="s">
        <v>689</v>
      </c>
      <c r="J6" s="46"/>
      <c r="K6" s="47"/>
      <c r="L6" s="9" t="s">
        <v>711</v>
      </c>
      <c r="M6" s="48"/>
      <c r="N6" s="9" t="s">
        <v>712</v>
      </c>
      <c r="O6" s="9" t="s">
        <v>499</v>
      </c>
      <c r="P6" s="9" t="s">
        <v>256</v>
      </c>
      <c r="Q6" s="48"/>
      <c r="R6" s="9" t="s">
        <v>13</v>
      </c>
      <c r="S6" s="49">
        <v>4.0</v>
      </c>
      <c r="T6" s="9" t="s">
        <v>713</v>
      </c>
      <c r="U6" s="48"/>
      <c r="V6" s="9" t="s">
        <v>86</v>
      </c>
      <c r="W6" s="46"/>
      <c r="X6" s="41"/>
      <c r="Y6" s="41"/>
      <c r="Z6" s="41"/>
      <c r="AA6" s="41"/>
      <c r="AB6" s="41"/>
      <c r="AC6" s="41"/>
      <c r="AD6" s="41"/>
      <c r="AE6" s="41"/>
      <c r="AF6" s="41"/>
      <c r="AG6" s="41"/>
      <c r="AH6" s="41"/>
      <c r="AI6" s="47"/>
      <c r="AJ6" s="9" t="s">
        <v>714</v>
      </c>
    </row>
    <row r="7" ht="57.0" customHeight="1">
      <c r="A7" s="41"/>
      <c r="B7" s="41"/>
      <c r="C7" s="41"/>
      <c r="D7" s="41"/>
      <c r="E7" s="41"/>
      <c r="F7" s="47"/>
      <c r="G7" s="9" t="s">
        <v>715</v>
      </c>
      <c r="H7" s="9" t="s">
        <v>13</v>
      </c>
      <c r="I7" s="9" t="s">
        <v>689</v>
      </c>
      <c r="J7" s="46"/>
      <c r="K7" s="47"/>
      <c r="L7" s="9" t="s">
        <v>716</v>
      </c>
      <c r="M7" s="48"/>
      <c r="N7" s="9" t="s">
        <v>717</v>
      </c>
      <c r="O7" s="9" t="s">
        <v>499</v>
      </c>
      <c r="P7" s="9" t="s">
        <v>256</v>
      </c>
      <c r="Q7" s="48"/>
      <c r="R7" s="9" t="s">
        <v>13</v>
      </c>
      <c r="S7" s="31">
        <v>3.0</v>
      </c>
      <c r="T7" s="9" t="s">
        <v>718</v>
      </c>
      <c r="U7" s="48"/>
      <c r="V7" s="9" t="s">
        <v>86</v>
      </c>
      <c r="W7" s="46"/>
      <c r="X7" s="41"/>
      <c r="Y7" s="41"/>
      <c r="Z7" s="41"/>
      <c r="AA7" s="41"/>
      <c r="AB7" s="41"/>
      <c r="AC7" s="41"/>
      <c r="AD7" s="41"/>
      <c r="AE7" s="41"/>
      <c r="AF7" s="41"/>
      <c r="AG7" s="41"/>
      <c r="AH7" s="41"/>
      <c r="AI7" s="47"/>
      <c r="AJ7" s="9" t="s">
        <v>719</v>
      </c>
    </row>
    <row r="8" ht="24.0" customHeight="1">
      <c r="A8" s="41"/>
      <c r="B8" s="41"/>
      <c r="C8" s="41"/>
      <c r="D8" s="41"/>
      <c r="E8" s="41"/>
      <c r="F8" s="47"/>
      <c r="G8" s="9" t="s">
        <v>720</v>
      </c>
      <c r="H8" s="9" t="s">
        <v>13</v>
      </c>
      <c r="I8" s="9" t="s">
        <v>689</v>
      </c>
      <c r="J8" s="46"/>
      <c r="K8" s="47"/>
      <c r="L8" s="9" t="s">
        <v>721</v>
      </c>
      <c r="M8" s="48"/>
      <c r="N8" s="9" t="s">
        <v>691</v>
      </c>
      <c r="O8" s="9" t="s">
        <v>298</v>
      </c>
      <c r="P8" s="9" t="s">
        <v>313</v>
      </c>
      <c r="Q8" s="48"/>
      <c r="R8" s="9" t="s">
        <v>13</v>
      </c>
      <c r="S8" s="49">
        <v>4.0</v>
      </c>
      <c r="T8" s="9" t="s">
        <v>722</v>
      </c>
      <c r="U8" s="48"/>
      <c r="V8" s="9" t="s">
        <v>86</v>
      </c>
      <c r="W8" s="46"/>
      <c r="X8" s="41"/>
      <c r="Y8" s="41"/>
      <c r="Z8" s="41"/>
      <c r="AA8" s="41"/>
      <c r="AB8" s="41"/>
      <c r="AC8" s="41"/>
      <c r="AD8" s="41"/>
      <c r="AE8" s="41"/>
      <c r="AF8" s="41"/>
      <c r="AG8" s="41"/>
      <c r="AH8" s="41"/>
      <c r="AI8" s="47"/>
      <c r="AJ8" s="9" t="s">
        <v>723</v>
      </c>
    </row>
    <row r="9" ht="46.5" customHeight="1">
      <c r="A9" s="41"/>
      <c r="B9" s="41"/>
      <c r="C9" s="41"/>
      <c r="D9" s="41"/>
      <c r="E9" s="41"/>
      <c r="F9" s="47"/>
      <c r="G9" s="9" t="s">
        <v>724</v>
      </c>
      <c r="H9" s="9" t="s">
        <v>725</v>
      </c>
      <c r="I9" s="9" t="s">
        <v>689</v>
      </c>
      <c r="J9" s="46"/>
      <c r="K9" s="41"/>
      <c r="L9" s="67"/>
      <c r="M9" s="47"/>
      <c r="N9" s="9" t="s">
        <v>726</v>
      </c>
      <c r="O9" s="9" t="s">
        <v>434</v>
      </c>
      <c r="P9" s="9" t="s">
        <v>214</v>
      </c>
      <c r="Q9" s="48"/>
      <c r="R9" s="9" t="s">
        <v>13</v>
      </c>
      <c r="S9" s="31">
        <v>3.0</v>
      </c>
      <c r="T9" s="9" t="s">
        <v>727</v>
      </c>
      <c r="U9" s="48"/>
      <c r="V9" s="9" t="s">
        <v>86</v>
      </c>
      <c r="W9" s="46"/>
      <c r="X9" s="41"/>
      <c r="Y9" s="41"/>
      <c r="Z9" s="41"/>
      <c r="AA9" s="41"/>
      <c r="AB9" s="41"/>
      <c r="AC9" s="41"/>
      <c r="AD9" s="41"/>
      <c r="AE9" s="41"/>
      <c r="AF9" s="41"/>
      <c r="AG9" s="41"/>
      <c r="AH9" s="41"/>
      <c r="AI9" s="47"/>
      <c r="AJ9" s="9" t="s">
        <v>728</v>
      </c>
    </row>
    <row r="10" ht="46.5" customHeight="1">
      <c r="A10" s="41"/>
      <c r="B10" s="41"/>
      <c r="C10" s="41"/>
      <c r="D10" s="41"/>
      <c r="E10" s="41"/>
      <c r="F10" s="47"/>
      <c r="G10" s="9" t="s">
        <v>729</v>
      </c>
      <c r="H10" s="9" t="s">
        <v>725</v>
      </c>
      <c r="I10" s="9" t="s">
        <v>689</v>
      </c>
      <c r="J10" s="46"/>
      <c r="K10" s="47"/>
      <c r="L10" s="9" t="s">
        <v>730</v>
      </c>
      <c r="M10" s="48"/>
      <c r="N10" s="9" t="s">
        <v>731</v>
      </c>
      <c r="O10" s="9" t="s">
        <v>499</v>
      </c>
      <c r="P10" s="9" t="s">
        <v>313</v>
      </c>
      <c r="Q10" s="48"/>
      <c r="R10" s="9" t="s">
        <v>13</v>
      </c>
      <c r="S10" s="49">
        <v>4.0</v>
      </c>
      <c r="T10" s="9" t="s">
        <v>732</v>
      </c>
      <c r="U10" s="48"/>
      <c r="V10" s="9" t="s">
        <v>86</v>
      </c>
      <c r="W10" s="46"/>
      <c r="X10" s="41"/>
      <c r="Y10" s="41"/>
      <c r="Z10" s="41"/>
      <c r="AA10" s="41"/>
      <c r="AB10" s="41"/>
      <c r="AC10" s="41"/>
      <c r="AD10" s="41"/>
      <c r="AE10" s="41"/>
      <c r="AF10" s="41"/>
      <c r="AG10" s="41"/>
      <c r="AH10" s="41"/>
      <c r="AI10" s="47"/>
      <c r="AJ10" s="9" t="s">
        <v>733</v>
      </c>
    </row>
    <row r="11" ht="35.25" customHeight="1">
      <c r="A11" s="41"/>
      <c r="B11" s="41"/>
      <c r="C11" s="41"/>
      <c r="D11" s="41"/>
      <c r="E11" s="41"/>
      <c r="F11" s="47"/>
      <c r="G11" s="9" t="s">
        <v>734</v>
      </c>
      <c r="H11" s="9" t="s">
        <v>13</v>
      </c>
      <c r="I11" s="9" t="s">
        <v>689</v>
      </c>
      <c r="J11" s="46"/>
      <c r="K11" s="47"/>
      <c r="L11" s="9" t="s">
        <v>735</v>
      </c>
      <c r="M11" s="48"/>
      <c r="N11" s="9" t="s">
        <v>736</v>
      </c>
      <c r="O11" s="9" t="s">
        <v>298</v>
      </c>
      <c r="P11" s="9" t="s">
        <v>299</v>
      </c>
      <c r="Q11" s="48"/>
      <c r="R11" s="9" t="s">
        <v>13</v>
      </c>
      <c r="S11" s="30">
        <v>2.0</v>
      </c>
      <c r="T11" s="9" t="s">
        <v>737</v>
      </c>
      <c r="U11" s="48"/>
      <c r="V11" s="9" t="s">
        <v>86</v>
      </c>
      <c r="W11" s="46"/>
      <c r="X11" s="41"/>
      <c r="Y11" s="41"/>
      <c r="Z11" s="41"/>
      <c r="AA11" s="41"/>
      <c r="AB11" s="41"/>
      <c r="AC11" s="41"/>
      <c r="AD11" s="41"/>
      <c r="AE11" s="41"/>
      <c r="AF11" s="41"/>
      <c r="AG11" s="41"/>
      <c r="AH11" s="41"/>
      <c r="AI11" s="47"/>
      <c r="AJ11" s="9" t="s">
        <v>738</v>
      </c>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row>
  </sheetData>
  <printOptions/>
  <pageMargins bottom="1.0" footer="0.0" header="0.0" left="0.75" right="0.75" top="1.0"/>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66" t="s">
        <v>16</v>
      </c>
      <c r="B1" s="66" t="s">
        <v>17</v>
      </c>
      <c r="C1" s="66" t="s">
        <v>18</v>
      </c>
      <c r="D1" s="66" t="s">
        <v>19</v>
      </c>
      <c r="E1" s="66" t="s">
        <v>20</v>
      </c>
      <c r="F1" s="66" t="s">
        <v>21</v>
      </c>
      <c r="G1" s="66" t="s">
        <v>22</v>
      </c>
      <c r="H1" s="66" t="s">
        <v>23</v>
      </c>
      <c r="I1" s="66" t="s">
        <v>24</v>
      </c>
      <c r="J1" s="66" t="s">
        <v>25</v>
      </c>
      <c r="K1" s="66" t="s">
        <v>26</v>
      </c>
      <c r="L1" s="66" t="s">
        <v>27</v>
      </c>
      <c r="M1" s="66" t="s">
        <v>28</v>
      </c>
      <c r="N1" s="66" t="s">
        <v>391</v>
      </c>
      <c r="O1" s="66" t="s">
        <v>30</v>
      </c>
      <c r="P1" s="66" t="s">
        <v>31</v>
      </c>
      <c r="Q1" s="66" t="s">
        <v>32</v>
      </c>
      <c r="R1" s="66" t="s">
        <v>33</v>
      </c>
      <c r="S1" s="66" t="s">
        <v>34</v>
      </c>
      <c r="T1" s="66" t="s">
        <v>35</v>
      </c>
      <c r="U1" s="66" t="s">
        <v>36</v>
      </c>
      <c r="V1" s="66" t="s">
        <v>392</v>
      </c>
      <c r="W1" s="66" t="s">
        <v>37</v>
      </c>
      <c r="X1" s="66" t="s">
        <v>393</v>
      </c>
      <c r="Y1" s="66" t="s">
        <v>39</v>
      </c>
      <c r="Z1" s="66" t="s">
        <v>41</v>
      </c>
      <c r="AA1" s="66" t="s">
        <v>42</v>
      </c>
      <c r="AB1" s="66" t="s">
        <v>43</v>
      </c>
      <c r="AC1" s="66" t="s">
        <v>44</v>
      </c>
      <c r="AD1" s="66" t="s">
        <v>45</v>
      </c>
      <c r="AE1" s="66" t="s">
        <v>46</v>
      </c>
      <c r="AF1" s="66" t="s">
        <v>47</v>
      </c>
      <c r="AG1" s="66" t="s">
        <v>48</v>
      </c>
      <c r="AH1" s="66" t="s">
        <v>49</v>
      </c>
      <c r="AI1" s="66" t="s">
        <v>50</v>
      </c>
      <c r="AJ1" s="66" t="s">
        <v>51</v>
      </c>
    </row>
    <row r="2" ht="57.0" customHeight="1">
      <c r="A2" s="33"/>
      <c r="B2" s="33"/>
      <c r="C2" s="33"/>
      <c r="D2" s="33"/>
      <c r="E2" s="33"/>
      <c r="F2" s="34"/>
      <c r="G2" s="9" t="s">
        <v>739</v>
      </c>
      <c r="H2" s="9" t="s">
        <v>740</v>
      </c>
      <c r="I2" s="9" t="s">
        <v>689</v>
      </c>
      <c r="J2" s="36"/>
      <c r="K2" s="34"/>
      <c r="L2" s="9" t="s">
        <v>741</v>
      </c>
      <c r="M2" s="37"/>
      <c r="N2" s="9" t="s">
        <v>742</v>
      </c>
      <c r="O2" s="9" t="s">
        <v>499</v>
      </c>
      <c r="P2" s="9" t="s">
        <v>313</v>
      </c>
      <c r="Q2" s="37"/>
      <c r="R2" s="9" t="s">
        <v>14</v>
      </c>
      <c r="S2" s="49">
        <v>4.0</v>
      </c>
      <c r="T2" s="9" t="s">
        <v>743</v>
      </c>
      <c r="U2" s="37"/>
      <c r="V2" s="9" t="s">
        <v>86</v>
      </c>
      <c r="W2" s="36"/>
      <c r="X2" s="33"/>
      <c r="Y2" s="33"/>
      <c r="Z2" s="33"/>
      <c r="AA2" s="33"/>
      <c r="AB2" s="33"/>
      <c r="AC2" s="33"/>
      <c r="AD2" s="33"/>
      <c r="AE2" s="33"/>
      <c r="AF2" s="33"/>
      <c r="AG2" s="33"/>
      <c r="AH2" s="33"/>
      <c r="AI2" s="34"/>
      <c r="AJ2" s="9" t="s">
        <v>744</v>
      </c>
    </row>
    <row r="3" ht="35.25" customHeight="1">
      <c r="A3" s="41"/>
      <c r="B3" s="41"/>
      <c r="C3" s="41"/>
      <c r="D3" s="41"/>
      <c r="E3" s="41"/>
      <c r="F3" s="47"/>
      <c r="G3" s="9" t="s">
        <v>745</v>
      </c>
      <c r="H3" s="9" t="s">
        <v>746</v>
      </c>
      <c r="I3" s="9" t="s">
        <v>689</v>
      </c>
      <c r="J3" s="46"/>
      <c r="K3" s="47"/>
      <c r="L3" s="9" t="s">
        <v>730</v>
      </c>
      <c r="M3" s="48"/>
      <c r="N3" s="9" t="s">
        <v>731</v>
      </c>
      <c r="O3" s="9" t="s">
        <v>499</v>
      </c>
      <c r="P3" s="9" t="s">
        <v>313</v>
      </c>
      <c r="Q3" s="48"/>
      <c r="R3" s="9" t="s">
        <v>14</v>
      </c>
      <c r="S3" s="31">
        <v>3.0</v>
      </c>
      <c r="T3" s="9" t="s">
        <v>747</v>
      </c>
      <c r="U3" s="48"/>
      <c r="V3" s="9" t="s">
        <v>86</v>
      </c>
      <c r="W3" s="46"/>
      <c r="X3" s="41"/>
      <c r="Y3" s="41"/>
      <c r="Z3" s="41"/>
      <c r="AA3" s="41"/>
      <c r="AB3" s="41"/>
      <c r="AC3" s="41"/>
      <c r="AD3" s="41"/>
      <c r="AE3" s="41"/>
      <c r="AF3" s="41"/>
      <c r="AG3" s="41"/>
      <c r="AH3" s="41"/>
      <c r="AI3" s="47"/>
      <c r="AJ3" s="9" t="s">
        <v>748</v>
      </c>
    </row>
    <row r="4" ht="46.5" customHeight="1">
      <c r="A4" s="41"/>
      <c r="B4" s="41"/>
      <c r="C4" s="41"/>
      <c r="D4" s="41"/>
      <c r="E4" s="41"/>
      <c r="F4" s="47"/>
      <c r="G4" s="9" t="s">
        <v>749</v>
      </c>
      <c r="H4" s="9" t="s">
        <v>746</v>
      </c>
      <c r="I4" s="9" t="s">
        <v>689</v>
      </c>
      <c r="J4" s="46"/>
      <c r="K4" s="47"/>
      <c r="L4" s="9" t="s">
        <v>750</v>
      </c>
      <c r="M4" s="72"/>
      <c r="N4" s="9" t="s">
        <v>491</v>
      </c>
      <c r="O4" s="9" t="s">
        <v>499</v>
      </c>
      <c r="P4" s="9" t="s">
        <v>485</v>
      </c>
      <c r="Q4" s="48"/>
      <c r="R4" s="9" t="s">
        <v>14</v>
      </c>
      <c r="S4" s="31">
        <v>3.0</v>
      </c>
      <c r="T4" s="9" t="s">
        <v>751</v>
      </c>
      <c r="U4" s="48"/>
      <c r="V4" s="9" t="s">
        <v>86</v>
      </c>
      <c r="W4" s="46"/>
      <c r="X4" s="41"/>
      <c r="Y4" s="41"/>
      <c r="Z4" s="41"/>
      <c r="AA4" s="41"/>
      <c r="AB4" s="41"/>
      <c r="AC4" s="41"/>
      <c r="AD4" s="41"/>
      <c r="AE4" s="41"/>
      <c r="AF4" s="41"/>
      <c r="AG4" s="41"/>
      <c r="AH4" s="41"/>
      <c r="AI4" s="47"/>
      <c r="AJ4" s="9" t="s">
        <v>752</v>
      </c>
    </row>
    <row r="5" ht="57.0" customHeight="1">
      <c r="A5" s="41"/>
      <c r="B5" s="41"/>
      <c r="C5" s="41"/>
      <c r="D5" s="41"/>
      <c r="E5" s="41"/>
      <c r="F5" s="47"/>
      <c r="G5" s="9" t="s">
        <v>753</v>
      </c>
      <c r="H5" s="9" t="s">
        <v>740</v>
      </c>
      <c r="I5" s="9" t="s">
        <v>689</v>
      </c>
      <c r="J5" s="46"/>
      <c r="K5" s="47"/>
      <c r="L5" s="9" t="s">
        <v>754</v>
      </c>
      <c r="M5" s="9" t="s">
        <v>755</v>
      </c>
      <c r="N5" s="9" t="s">
        <v>756</v>
      </c>
      <c r="O5" s="9" t="s">
        <v>499</v>
      </c>
      <c r="P5" s="9" t="s">
        <v>299</v>
      </c>
      <c r="Q5" s="48"/>
      <c r="R5" s="9" t="s">
        <v>14</v>
      </c>
      <c r="S5" s="31">
        <v>3.0</v>
      </c>
      <c r="T5" s="9" t="s">
        <v>757</v>
      </c>
      <c r="U5" s="48"/>
      <c r="V5" s="9" t="s">
        <v>86</v>
      </c>
      <c r="W5" s="46"/>
      <c r="X5" s="41"/>
      <c r="Y5" s="41"/>
      <c r="Z5" s="41"/>
      <c r="AA5" s="41"/>
      <c r="AB5" s="41"/>
      <c r="AC5" s="41"/>
      <c r="AD5" s="41"/>
      <c r="AE5" s="41"/>
      <c r="AF5" s="41"/>
      <c r="AG5" s="41"/>
      <c r="AH5" s="41"/>
      <c r="AI5" s="47"/>
      <c r="AJ5" s="9" t="s">
        <v>758</v>
      </c>
    </row>
    <row r="6" ht="57.0" customHeight="1">
      <c r="A6" s="41"/>
      <c r="B6" s="41"/>
      <c r="C6" s="41"/>
      <c r="D6" s="41"/>
      <c r="E6" s="41"/>
      <c r="F6" s="47"/>
      <c r="G6" s="9" t="s">
        <v>759</v>
      </c>
      <c r="H6" s="9" t="s">
        <v>746</v>
      </c>
      <c r="I6" s="9" t="s">
        <v>689</v>
      </c>
      <c r="J6" s="46"/>
      <c r="K6" s="47"/>
      <c r="L6" s="9" t="s">
        <v>760</v>
      </c>
      <c r="M6" s="36"/>
      <c r="N6" s="68"/>
      <c r="O6" s="9" t="s">
        <v>298</v>
      </c>
      <c r="P6" s="9" t="s">
        <v>507</v>
      </c>
      <c r="Q6" s="48"/>
      <c r="R6" s="9" t="s">
        <v>14</v>
      </c>
      <c r="S6" s="30">
        <v>2.0</v>
      </c>
      <c r="T6" s="9" t="s">
        <v>761</v>
      </c>
      <c r="U6" s="48"/>
      <c r="V6" s="9" t="s">
        <v>86</v>
      </c>
      <c r="W6" s="46"/>
      <c r="X6" s="41"/>
      <c r="Y6" s="41"/>
      <c r="Z6" s="41"/>
      <c r="AA6" s="41"/>
      <c r="AB6" s="41"/>
      <c r="AC6" s="41"/>
      <c r="AD6" s="41"/>
      <c r="AE6" s="41"/>
      <c r="AF6" s="41"/>
      <c r="AG6" s="41"/>
      <c r="AH6" s="41"/>
      <c r="AI6" s="47"/>
      <c r="AJ6" s="9" t="s">
        <v>762</v>
      </c>
    </row>
    <row r="7" ht="46.5" customHeight="1">
      <c r="A7" s="41"/>
      <c r="B7" s="41"/>
      <c r="C7" s="41"/>
      <c r="D7" s="41"/>
      <c r="E7" s="41"/>
      <c r="F7" s="47"/>
      <c r="G7" s="9" t="s">
        <v>763</v>
      </c>
      <c r="H7" s="9" t="s">
        <v>746</v>
      </c>
      <c r="I7" s="9" t="s">
        <v>689</v>
      </c>
      <c r="J7" s="46"/>
      <c r="K7" s="47"/>
      <c r="L7" s="9" t="s">
        <v>764</v>
      </c>
      <c r="M7" s="72"/>
      <c r="N7" s="9" t="s">
        <v>765</v>
      </c>
      <c r="O7" s="9" t="s">
        <v>298</v>
      </c>
      <c r="P7" s="9" t="s">
        <v>299</v>
      </c>
      <c r="Q7" s="48"/>
      <c r="R7" s="9" t="s">
        <v>14</v>
      </c>
      <c r="S7" s="31">
        <v>3.0</v>
      </c>
      <c r="T7" s="9" t="s">
        <v>766</v>
      </c>
      <c r="U7" s="48"/>
      <c r="V7" s="9" t="s">
        <v>86</v>
      </c>
      <c r="W7" s="46"/>
      <c r="X7" s="41"/>
      <c r="Y7" s="41"/>
      <c r="Z7" s="41"/>
      <c r="AA7" s="41"/>
      <c r="AB7" s="41"/>
      <c r="AC7" s="41"/>
      <c r="AD7" s="41"/>
      <c r="AE7" s="41"/>
      <c r="AF7" s="41"/>
      <c r="AG7" s="41"/>
      <c r="AH7" s="41"/>
      <c r="AI7" s="47"/>
      <c r="AJ7" s="9" t="s">
        <v>767</v>
      </c>
    </row>
    <row r="8" ht="24.0" customHeight="1">
      <c r="A8" s="41"/>
      <c r="B8" s="41"/>
      <c r="C8" s="41"/>
      <c r="D8" s="41"/>
      <c r="E8" s="41"/>
      <c r="F8" s="47"/>
      <c r="G8" s="9" t="s">
        <v>768</v>
      </c>
      <c r="H8" s="9" t="s">
        <v>740</v>
      </c>
      <c r="I8" s="9" t="s">
        <v>689</v>
      </c>
      <c r="J8" s="46"/>
      <c r="K8" s="47"/>
      <c r="L8" s="9" t="s">
        <v>769</v>
      </c>
      <c r="M8" s="9" t="s">
        <v>770</v>
      </c>
      <c r="N8" s="9" t="s">
        <v>771</v>
      </c>
      <c r="O8" s="9" t="s">
        <v>434</v>
      </c>
      <c r="P8" s="9" t="s">
        <v>324</v>
      </c>
      <c r="Q8" s="48"/>
      <c r="R8" s="9" t="s">
        <v>14</v>
      </c>
      <c r="S8" s="30">
        <v>2.0</v>
      </c>
      <c r="T8" s="9" t="s">
        <v>772</v>
      </c>
      <c r="U8" s="48"/>
      <c r="V8" s="9" t="s">
        <v>86</v>
      </c>
      <c r="W8" s="46"/>
      <c r="X8" s="41"/>
      <c r="Y8" s="41"/>
      <c r="Z8" s="41"/>
      <c r="AA8" s="41"/>
      <c r="AB8" s="41"/>
      <c r="AC8" s="41"/>
      <c r="AD8" s="41"/>
      <c r="AE8" s="41"/>
      <c r="AF8" s="41"/>
      <c r="AG8" s="41"/>
      <c r="AH8" s="41"/>
      <c r="AI8" s="47"/>
      <c r="AJ8" s="9" t="s">
        <v>773</v>
      </c>
    </row>
    <row r="9" ht="13.5" customHeight="1">
      <c r="A9" s="41"/>
      <c r="B9" s="41"/>
      <c r="C9" s="41"/>
      <c r="D9" s="41"/>
      <c r="E9" s="41"/>
      <c r="F9" s="41"/>
      <c r="G9" s="33"/>
      <c r="H9" s="33"/>
      <c r="I9" s="33"/>
      <c r="J9" s="41"/>
      <c r="K9" s="41"/>
      <c r="L9" s="33"/>
      <c r="M9" s="33"/>
      <c r="N9" s="33"/>
      <c r="O9" s="33"/>
      <c r="P9" s="33"/>
      <c r="Q9" s="41"/>
      <c r="R9" s="33"/>
      <c r="S9" s="33"/>
      <c r="T9" s="33"/>
      <c r="U9" s="41"/>
      <c r="V9" s="33"/>
      <c r="W9" s="41"/>
      <c r="X9" s="41"/>
      <c r="Y9" s="41"/>
      <c r="Z9" s="41"/>
      <c r="AA9" s="41"/>
      <c r="AB9" s="41"/>
      <c r="AC9" s="41"/>
      <c r="AD9" s="41"/>
      <c r="AE9" s="41"/>
      <c r="AF9" s="41"/>
      <c r="AG9" s="41"/>
      <c r="AH9" s="41"/>
      <c r="AI9" s="41"/>
      <c r="AJ9" s="33"/>
    </row>
    <row r="10" ht="13.5" customHeight="1">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row>
    <row r="1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row>
  </sheetData>
  <printOptions/>
  <pageMargins bottom="1.0" footer="0.0" header="0.0" left="0.75" right="0.75" top="1.0"/>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66" t="s">
        <v>16</v>
      </c>
      <c r="B1" s="66" t="s">
        <v>17</v>
      </c>
      <c r="C1" s="66" t="s">
        <v>18</v>
      </c>
      <c r="D1" s="66" t="s">
        <v>19</v>
      </c>
      <c r="E1" s="66" t="s">
        <v>20</v>
      </c>
      <c r="F1" s="66" t="s">
        <v>21</v>
      </c>
      <c r="G1" s="66" t="s">
        <v>22</v>
      </c>
      <c r="H1" s="66" t="s">
        <v>23</v>
      </c>
      <c r="I1" s="66" t="s">
        <v>24</v>
      </c>
      <c r="J1" s="66" t="s">
        <v>25</v>
      </c>
      <c r="K1" s="66" t="s">
        <v>26</v>
      </c>
      <c r="L1" s="66" t="s">
        <v>27</v>
      </c>
      <c r="M1" s="66" t="s">
        <v>28</v>
      </c>
      <c r="N1" s="66" t="s">
        <v>391</v>
      </c>
      <c r="O1" s="66" t="s">
        <v>30</v>
      </c>
      <c r="P1" s="66" t="s">
        <v>31</v>
      </c>
      <c r="Q1" s="66" t="s">
        <v>32</v>
      </c>
      <c r="R1" s="66" t="s">
        <v>33</v>
      </c>
      <c r="S1" s="66" t="s">
        <v>34</v>
      </c>
      <c r="T1" s="66" t="s">
        <v>35</v>
      </c>
      <c r="U1" s="66" t="s">
        <v>36</v>
      </c>
      <c r="V1" s="66" t="s">
        <v>392</v>
      </c>
      <c r="W1" s="66" t="s">
        <v>37</v>
      </c>
      <c r="X1" s="66" t="s">
        <v>393</v>
      </c>
      <c r="Y1" s="66" t="s">
        <v>39</v>
      </c>
      <c r="Z1" s="66" t="s">
        <v>41</v>
      </c>
      <c r="AA1" s="66" t="s">
        <v>42</v>
      </c>
      <c r="AB1" s="66" t="s">
        <v>43</v>
      </c>
      <c r="AC1" s="66" t="s">
        <v>44</v>
      </c>
      <c r="AD1" s="66" t="s">
        <v>45</v>
      </c>
      <c r="AE1" s="66" t="s">
        <v>46</v>
      </c>
      <c r="AF1" s="66" t="s">
        <v>47</v>
      </c>
      <c r="AG1" s="66" t="s">
        <v>48</v>
      </c>
      <c r="AH1" s="66" t="s">
        <v>49</v>
      </c>
      <c r="AI1" s="66" t="s">
        <v>50</v>
      </c>
      <c r="AJ1" s="66" t="s">
        <v>51</v>
      </c>
    </row>
    <row r="2" ht="46.5" customHeight="1">
      <c r="A2" s="33"/>
      <c r="B2" s="33"/>
      <c r="C2" s="34"/>
      <c r="D2" s="9" t="s">
        <v>774</v>
      </c>
      <c r="E2" s="9" t="s">
        <v>775</v>
      </c>
      <c r="F2" s="9" t="s">
        <v>155</v>
      </c>
      <c r="G2" s="9" t="s">
        <v>776</v>
      </c>
      <c r="H2" s="9" t="s">
        <v>777</v>
      </c>
      <c r="I2" s="9" t="s">
        <v>778</v>
      </c>
      <c r="J2" s="36"/>
      <c r="K2" s="34"/>
      <c r="L2" s="9" t="s">
        <v>779</v>
      </c>
      <c r="M2" s="37"/>
      <c r="N2" s="9" t="s">
        <v>780</v>
      </c>
      <c r="O2" s="9" t="s">
        <v>499</v>
      </c>
      <c r="P2" s="9" t="s">
        <v>313</v>
      </c>
      <c r="Q2" s="37"/>
      <c r="R2" s="9" t="s">
        <v>781</v>
      </c>
      <c r="S2" s="71">
        <v>5.0</v>
      </c>
      <c r="T2" s="9" t="s">
        <v>782</v>
      </c>
      <c r="U2" s="37"/>
      <c r="V2" s="9" t="s">
        <v>86</v>
      </c>
      <c r="W2" s="36"/>
      <c r="X2" s="33"/>
      <c r="Y2" s="33"/>
      <c r="Z2" s="33"/>
      <c r="AA2" s="33"/>
      <c r="AB2" s="33"/>
      <c r="AC2" s="33"/>
      <c r="AD2" s="33"/>
      <c r="AE2" s="33"/>
      <c r="AF2" s="33"/>
      <c r="AG2" s="33"/>
      <c r="AH2" s="33"/>
      <c r="AI2" s="34"/>
      <c r="AJ2" s="9" t="s">
        <v>783</v>
      </c>
    </row>
    <row r="3" ht="35.25" customHeight="1">
      <c r="A3" s="41"/>
      <c r="B3" s="41"/>
      <c r="C3" s="41"/>
      <c r="D3" s="33"/>
      <c r="E3" s="33"/>
      <c r="F3" s="34"/>
      <c r="G3" s="9" t="s">
        <v>784</v>
      </c>
      <c r="H3" s="9" t="s">
        <v>777</v>
      </c>
      <c r="I3" s="9" t="s">
        <v>778</v>
      </c>
      <c r="J3" s="46"/>
      <c r="K3" s="47"/>
      <c r="L3" s="9" t="s">
        <v>785</v>
      </c>
      <c r="M3" s="48"/>
      <c r="N3" s="9" t="s">
        <v>786</v>
      </c>
      <c r="O3" s="9" t="s">
        <v>499</v>
      </c>
      <c r="P3" s="9" t="s">
        <v>288</v>
      </c>
      <c r="Q3" s="48"/>
      <c r="R3" s="9" t="s">
        <v>781</v>
      </c>
      <c r="S3" s="31">
        <v>3.0</v>
      </c>
      <c r="T3" s="9" t="s">
        <v>787</v>
      </c>
      <c r="U3" s="48"/>
      <c r="V3" s="9" t="s">
        <v>86</v>
      </c>
      <c r="W3" s="46"/>
      <c r="X3" s="41"/>
      <c r="Y3" s="41"/>
      <c r="Z3" s="41"/>
      <c r="AA3" s="41"/>
      <c r="AB3" s="41"/>
      <c r="AC3" s="41"/>
      <c r="AD3" s="41"/>
      <c r="AE3" s="41"/>
      <c r="AF3" s="41"/>
      <c r="AG3" s="41"/>
      <c r="AH3" s="41"/>
      <c r="AI3" s="47"/>
      <c r="AJ3" s="9" t="s">
        <v>788</v>
      </c>
    </row>
    <row r="4" ht="35.25" customHeight="1">
      <c r="A4" s="41"/>
      <c r="B4" s="41"/>
      <c r="C4" s="41"/>
      <c r="D4" s="41"/>
      <c r="E4" s="41"/>
      <c r="F4" s="47"/>
      <c r="G4" s="9" t="s">
        <v>789</v>
      </c>
      <c r="H4" s="9" t="s">
        <v>790</v>
      </c>
      <c r="I4" s="9" t="s">
        <v>791</v>
      </c>
      <c r="J4" s="46"/>
      <c r="K4" s="47"/>
      <c r="L4" s="9" t="s">
        <v>792</v>
      </c>
      <c r="M4" s="46"/>
      <c r="N4" s="68"/>
      <c r="O4" s="9" t="s">
        <v>298</v>
      </c>
      <c r="P4" s="9" t="s">
        <v>299</v>
      </c>
      <c r="Q4" s="48"/>
      <c r="R4" s="9" t="s">
        <v>781</v>
      </c>
      <c r="S4" s="31">
        <v>3.0</v>
      </c>
      <c r="T4" s="9" t="s">
        <v>793</v>
      </c>
      <c r="U4" s="48"/>
      <c r="V4" s="9" t="s">
        <v>86</v>
      </c>
      <c r="W4" s="46"/>
      <c r="X4" s="41"/>
      <c r="Y4" s="41"/>
      <c r="Z4" s="41"/>
      <c r="AA4" s="41"/>
      <c r="AB4" s="41"/>
      <c r="AC4" s="41"/>
      <c r="AD4" s="41"/>
      <c r="AE4" s="41"/>
      <c r="AF4" s="41"/>
      <c r="AG4" s="41"/>
      <c r="AH4" s="41"/>
      <c r="AI4" s="47"/>
      <c r="AJ4" s="9" t="s">
        <v>794</v>
      </c>
    </row>
    <row r="5" ht="46.5" customHeight="1">
      <c r="A5" s="41"/>
      <c r="B5" s="41"/>
      <c r="C5" s="41"/>
      <c r="D5" s="41"/>
      <c r="E5" s="41"/>
      <c r="F5" s="47"/>
      <c r="G5" s="9" t="s">
        <v>795</v>
      </c>
      <c r="H5" s="9" t="s">
        <v>796</v>
      </c>
      <c r="I5" s="9" t="s">
        <v>797</v>
      </c>
      <c r="J5" s="46"/>
      <c r="K5" s="47"/>
      <c r="L5" s="9" t="s">
        <v>798</v>
      </c>
      <c r="M5" s="48"/>
      <c r="N5" s="9" t="s">
        <v>799</v>
      </c>
      <c r="O5" s="9" t="s">
        <v>499</v>
      </c>
      <c r="P5" s="9" t="s">
        <v>299</v>
      </c>
      <c r="Q5" s="48"/>
      <c r="R5" s="9" t="s">
        <v>781</v>
      </c>
      <c r="S5" s="31">
        <v>3.0</v>
      </c>
      <c r="T5" s="9" t="s">
        <v>800</v>
      </c>
      <c r="U5" s="48"/>
      <c r="V5" s="9" t="s">
        <v>86</v>
      </c>
      <c r="W5" s="46"/>
      <c r="X5" s="41"/>
      <c r="Y5" s="41"/>
      <c r="Z5" s="41"/>
      <c r="AA5" s="41"/>
      <c r="AB5" s="41"/>
      <c r="AC5" s="41"/>
      <c r="AD5" s="41"/>
      <c r="AE5" s="41"/>
      <c r="AF5" s="41"/>
      <c r="AG5" s="41"/>
      <c r="AH5" s="41"/>
      <c r="AI5" s="47"/>
      <c r="AJ5" s="9" t="s">
        <v>801</v>
      </c>
    </row>
    <row r="6" ht="57.0" customHeight="1">
      <c r="A6" s="41"/>
      <c r="B6" s="41"/>
      <c r="C6" s="41"/>
      <c r="D6" s="41"/>
      <c r="E6" s="41"/>
      <c r="F6" s="47"/>
      <c r="G6" s="9" t="s">
        <v>802</v>
      </c>
      <c r="H6" s="9" t="s">
        <v>777</v>
      </c>
      <c r="I6" s="9" t="s">
        <v>778</v>
      </c>
      <c r="J6" s="46"/>
      <c r="K6" s="47"/>
      <c r="L6" s="9" t="s">
        <v>803</v>
      </c>
      <c r="M6" s="48"/>
      <c r="N6" s="9" t="s">
        <v>804</v>
      </c>
      <c r="O6" s="9" t="s">
        <v>499</v>
      </c>
      <c r="P6" s="9" t="s">
        <v>299</v>
      </c>
      <c r="Q6" s="48"/>
      <c r="R6" s="9" t="s">
        <v>781</v>
      </c>
      <c r="S6" s="31">
        <v>3.0</v>
      </c>
      <c r="T6" s="9" t="s">
        <v>805</v>
      </c>
      <c r="U6" s="48"/>
      <c r="V6" s="9" t="s">
        <v>86</v>
      </c>
      <c r="W6" s="46"/>
      <c r="X6" s="41"/>
      <c r="Y6" s="41"/>
      <c r="Z6" s="41"/>
      <c r="AA6" s="41"/>
      <c r="AB6" s="41"/>
      <c r="AC6" s="41"/>
      <c r="AD6" s="41"/>
      <c r="AE6" s="41"/>
      <c r="AF6" s="41"/>
      <c r="AG6" s="41"/>
      <c r="AH6" s="41"/>
      <c r="AI6" s="47"/>
      <c r="AJ6" s="9" t="s">
        <v>806</v>
      </c>
    </row>
    <row r="7" ht="46.5" customHeight="1">
      <c r="A7" s="41"/>
      <c r="B7" s="41"/>
      <c r="C7" s="41"/>
      <c r="D7" s="41"/>
      <c r="E7" s="41"/>
      <c r="F7" s="47"/>
      <c r="G7" s="9" t="s">
        <v>807</v>
      </c>
      <c r="H7" s="9" t="s">
        <v>808</v>
      </c>
      <c r="I7" s="9" t="s">
        <v>797</v>
      </c>
      <c r="J7" s="46"/>
      <c r="K7" s="47"/>
      <c r="L7" s="9" t="s">
        <v>809</v>
      </c>
      <c r="M7" s="48"/>
      <c r="N7" s="9" t="s">
        <v>810</v>
      </c>
      <c r="O7" s="9" t="s">
        <v>499</v>
      </c>
      <c r="P7" s="9" t="s">
        <v>268</v>
      </c>
      <c r="Q7" s="48"/>
      <c r="R7" s="9" t="s">
        <v>781</v>
      </c>
      <c r="S7" s="30">
        <v>2.0</v>
      </c>
      <c r="T7" s="9" t="s">
        <v>811</v>
      </c>
      <c r="U7" s="48"/>
      <c r="V7" s="9" t="s">
        <v>86</v>
      </c>
      <c r="W7" s="46"/>
      <c r="X7" s="41"/>
      <c r="Y7" s="41"/>
      <c r="Z7" s="41"/>
      <c r="AA7" s="41"/>
      <c r="AB7" s="41"/>
      <c r="AC7" s="41"/>
      <c r="AD7" s="41"/>
      <c r="AE7" s="41"/>
      <c r="AF7" s="41"/>
      <c r="AG7" s="41"/>
      <c r="AH7" s="41"/>
      <c r="AI7" s="47"/>
      <c r="AJ7" s="9" t="s">
        <v>812</v>
      </c>
    </row>
    <row r="8" ht="35.25" customHeight="1">
      <c r="A8" s="41"/>
      <c r="B8" s="41"/>
      <c r="C8" s="41"/>
      <c r="D8" s="41"/>
      <c r="E8" s="41"/>
      <c r="F8" s="47"/>
      <c r="G8" s="9" t="s">
        <v>813</v>
      </c>
      <c r="H8" s="9" t="s">
        <v>777</v>
      </c>
      <c r="I8" s="9" t="s">
        <v>778</v>
      </c>
      <c r="J8" s="46"/>
      <c r="K8" s="47"/>
      <c r="L8" s="9" t="s">
        <v>814</v>
      </c>
      <c r="M8" s="46"/>
      <c r="N8" s="68"/>
      <c r="O8" s="9" t="s">
        <v>298</v>
      </c>
      <c r="P8" s="9" t="s">
        <v>268</v>
      </c>
      <c r="Q8" s="48"/>
      <c r="R8" s="9" t="s">
        <v>781</v>
      </c>
      <c r="S8" s="30">
        <v>2.0</v>
      </c>
      <c r="T8" s="9" t="s">
        <v>815</v>
      </c>
      <c r="U8" s="48"/>
      <c r="V8" s="9" t="s">
        <v>86</v>
      </c>
      <c r="W8" s="46"/>
      <c r="X8" s="41"/>
      <c r="Y8" s="41"/>
      <c r="Z8" s="41"/>
      <c r="AA8" s="41"/>
      <c r="AB8" s="41"/>
      <c r="AC8" s="41"/>
      <c r="AD8" s="41"/>
      <c r="AE8" s="41"/>
      <c r="AF8" s="41"/>
      <c r="AG8" s="41"/>
      <c r="AH8" s="41"/>
      <c r="AI8" s="47"/>
      <c r="AJ8" s="9" t="s">
        <v>816</v>
      </c>
    </row>
    <row r="9" ht="35.25" customHeight="1">
      <c r="A9" s="41"/>
      <c r="B9" s="41"/>
      <c r="C9" s="41"/>
      <c r="D9" s="41"/>
      <c r="E9" s="41"/>
      <c r="F9" s="47"/>
      <c r="G9" s="9" t="s">
        <v>817</v>
      </c>
      <c r="H9" s="9" t="s">
        <v>777</v>
      </c>
      <c r="I9" s="9" t="s">
        <v>778</v>
      </c>
      <c r="J9" s="46"/>
      <c r="K9" s="47"/>
      <c r="L9" s="9" t="s">
        <v>818</v>
      </c>
      <c r="M9" s="48"/>
      <c r="N9" s="9" t="s">
        <v>819</v>
      </c>
      <c r="O9" s="9" t="s">
        <v>298</v>
      </c>
      <c r="P9" s="9" t="s">
        <v>268</v>
      </c>
      <c r="Q9" s="48"/>
      <c r="R9" s="9" t="s">
        <v>781</v>
      </c>
      <c r="S9" s="30">
        <v>2.0</v>
      </c>
      <c r="T9" s="9" t="s">
        <v>820</v>
      </c>
      <c r="U9" s="48"/>
      <c r="V9" s="9" t="s">
        <v>86</v>
      </c>
      <c r="W9" s="46"/>
      <c r="X9" s="41"/>
      <c r="Y9" s="41"/>
      <c r="Z9" s="41"/>
      <c r="AA9" s="41"/>
      <c r="AB9" s="41"/>
      <c r="AC9" s="41"/>
      <c r="AD9" s="41"/>
      <c r="AE9" s="41"/>
      <c r="AF9" s="41"/>
      <c r="AG9" s="41"/>
      <c r="AH9" s="41"/>
      <c r="AI9" s="47"/>
      <c r="AJ9" s="9" t="s">
        <v>821</v>
      </c>
    </row>
    <row r="10" ht="13.5" customHeight="1">
      <c r="A10" s="41"/>
      <c r="B10" s="41"/>
      <c r="C10" s="41"/>
      <c r="D10" s="41"/>
      <c r="E10" s="41"/>
      <c r="F10" s="41"/>
      <c r="G10" s="33"/>
      <c r="H10" s="33"/>
      <c r="I10" s="33"/>
      <c r="J10" s="41"/>
      <c r="K10" s="41"/>
      <c r="L10" s="33"/>
      <c r="M10" s="41"/>
      <c r="N10" s="33"/>
      <c r="O10" s="33"/>
      <c r="P10" s="33"/>
      <c r="Q10" s="41"/>
      <c r="R10" s="33"/>
      <c r="S10" s="33"/>
      <c r="T10" s="33"/>
      <c r="U10" s="41"/>
      <c r="V10" s="33"/>
      <c r="W10" s="41"/>
      <c r="X10" s="41"/>
      <c r="Y10" s="41"/>
      <c r="Z10" s="41"/>
      <c r="AA10" s="41"/>
      <c r="AB10" s="41"/>
      <c r="AC10" s="41"/>
      <c r="AD10" s="41"/>
      <c r="AE10" s="41"/>
      <c r="AF10" s="41"/>
      <c r="AG10" s="41"/>
      <c r="AH10" s="41"/>
      <c r="AI10" s="41"/>
      <c r="AJ10" s="33"/>
    </row>
    <row r="1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row>
  </sheetData>
  <printOptions/>
  <pageMargins bottom="1.0" footer="0.0" header="0.0" left="0.75" right="0.75" top="1.0"/>
  <pageSetup orientation="portrait"/>
  <headerFooter>
    <oddFooter>&amp;C000000&amp;P</oddFooter>
  </headerFooter>
  <drawing r:id="rId1"/>
</worksheet>
</file>